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ENTAMIENTOS" sheetId="1" state="visible" r:id="rId3"/>
    <sheet name="DIFERENCIALES" sheetId="2" state="visible" r:id="rId4"/>
    <sheet name="RESUMEN POR NODO" sheetId="3" state="visible" r:id="rId5"/>
    <sheet name="COORDENADA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<sst xmlns="http://schemas.openxmlformats.org/spreadsheetml/2006/main" count="249" uniqueCount="186">
  <si>
    <t xml:space="preserve">MODELO WINKLER CORREGIDO — ASENTAMIENTOS POR NODO</t>
  </si>
  <si>
    <t xml:space="preserve">⚡  Ingrese el asentamiento en la columna E (en mm). Las demás columnas son referencia del modelo.</t>
  </si>
  <si>
    <t xml:space="preserve">NODO</t>
  </si>
  <si>
    <t xml:space="preserve">X (mm)</t>
  </si>
  <si>
    <t xml:space="preserve">Y (mm)</t>
  </si>
  <si>
    <t xml:space="preserve">DESCRIPCIÓN</t>
  </si>
  <si>
    <t xml:space="preserve">ASENTAMIENTO
(mm)</t>
  </si>
  <si>
    <t xml:space="preserve">NOTAS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</si>
  <si>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</si>
  <si>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</si>
  <si>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</si>
  <si>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</si>
  <si>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</si>
  <si>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</si>
  <si>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</si>
  <si>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</si>
  <si>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</si>
  <si>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</si>
  <si>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</si>
  <si>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</si>
  <si>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</si>
  <si>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</si>
  <si>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</si>
  <si>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</si>
  <si>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</si>
  <si>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</si>
  <si>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</si>
  <si>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</si>
  <si>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</si>
  <si>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</si>
  <si>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</si>
  <si>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</si>
  <si>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</si>
  <si>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</si>
  <si>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</si>
  <si>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</si>
  <si>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</si>
  <si>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</si>
  <si>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</si>
  <si>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</si>
  <si>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</si>
  <si>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</si>
  <si>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</si>
  <si>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</si>
  <si>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</si>
  <si>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</si>
  <si>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</si>
  <si>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</si>
  <si>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</si>
  <si>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</si>
  <si>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</si>
  <si>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</si>
  <si>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</si>
  <si>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</si>
  <si>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</si>
  <si>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</si>
  <si>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</si>
  <si>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</si>
  <si>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</si>
  <si>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</si>
  <si>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</si>
  <si>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</si>
  <si>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</si>
  <si>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</si>
  <si>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</si>
  <si>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</si>
  <si>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</si>
  <si>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</si>
  <si>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</si>
  <si>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</si>
  <si>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</si>
  <si>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</si>
  <si>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</si>
  <si>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</si>
  <si>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</si>
  <si>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</si>
  <si>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</si>
  <si>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</si>
  <si>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</si>
  <si>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</si>
  <si>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82</t>
  </si>
  <si>
    <t xml:space="preserve">83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</si>
  <si>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</si>
  <si>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</si>
  <si>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</si>
  <si>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</si>
  <si>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</si>
  <si>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</si>
  <si>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</si>
  <si>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96</t>
  </si>
  <si>
    <t xml:space="preserve">97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</si>
  <si>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</si>
  <si>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</si>
  <si>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</si>
  <si>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</si>
  <si>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</si>
  <si>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</si>
  <si>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</si>
  <si>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</si>
  <si>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</si>
  <si>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</si>
  <si>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</si>
  <si>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🟡 Celda amarilla = dato de entrada (ingrese asentamiento en mm)   |   🔵 Texto azul = identificador de nodo   |   Coordenadas en mm (sistema del modelo ETABS)</t>
  </si>
  <si>
    <t xml:space="preserve">DIFERENCIAL DE ASENTAMIENTOS ENTRE NODOS CONECTADOS</t>
  </si>
  <si>
    <t xml:space="preserve">Los asentamientos se leen automáticamente de la hoja ASENTAMIENTOS (columna E). La distorsión angular = Δs / L.</t>
  </si>
  <si>
    <t xml:space="preserve">Límite admisible (1/n):</t>
  </si>
  <si>
    <t xml:space="preserve">↑ Cambiar según norma (ej: 300, 500, 600)</t>
  </si>
  <si>
    <t xml:space="preserve">VIGA /
TRAMO</t>
  </si>
  <si>
    <t xml:space="preserve">NODO i</t>
  </si>
  <si>
    <t xml:space="preserve">NODO j</t>
  </si>
  <si>
    <t xml:space="preserve">Xi (mm)
[Coord. i]</t>
  </si>
  <si>
    <t xml:space="preserve">Yi (mm)
[Coord. i]</t>
  </si>
  <si>
    <t xml:space="preserve">Xj (mm)
[Coord. j]</t>
  </si>
  <si>
    <t xml:space="preserve">Yj (mm)
[Coord. j]</t>
  </si>
  <si>
    <t xml:space="preserve">L (mm)
=√((Xj-Xi)²+(Yj-Yi)²)</t>
  </si>
  <si>
    <t xml:space="preserve">δi (mm)
[Asent. Nodo i]</t>
  </si>
  <si>
    <t xml:space="preserve">δj (mm)
[Asent. Nodo j]</t>
  </si>
  <si>
    <t xml:space="preserve">Δs = |δi - δj|
(mm)</t>
  </si>
  <si>
    <t xml:space="preserve">Δs / L
[Dist. Angular]</t>
  </si>
  <si>
    <t xml:space="preserve">LÍMITE
1/n_adm</t>
  </si>
  <si>
    <t xml:space="preserve">¿CUMPLE?</t>
  </si>
  <si>
    <t xml:space="preserve">C1↔C3</t>
  </si>
  <si>
    <t xml:space="preserve">C1↔C6</t>
  </si>
  <si>
    <t xml:space="preserve">C1↔C19</t>
  </si>
  <si>
    <t xml:space="preserve">C2↔C11</t>
  </si>
  <si>
    <t xml:space="preserve">C2↔C12</t>
  </si>
  <si>
    <t xml:space="preserve">C2↔C26</t>
  </si>
  <si>
    <t xml:space="preserve">C3↔C4</t>
  </si>
  <si>
    <t xml:space="preserve">C3↔C19</t>
  </si>
  <si>
    <t xml:space="preserve">C4↔C5</t>
  </si>
  <si>
    <t xml:space="preserve">C4↔C20</t>
  </si>
  <si>
    <t xml:space="preserve">C5↔C17</t>
  </si>
  <si>
    <t xml:space="preserve">C5↔C21</t>
  </si>
  <si>
    <t xml:space="preserve">C6↔C7</t>
  </si>
  <si>
    <t xml:space="preserve">C6↔C19</t>
  </si>
  <si>
    <t xml:space="preserve">C6↔C82</t>
  </si>
  <si>
    <t xml:space="preserve">C7↔C8</t>
  </si>
  <si>
    <t xml:space="preserve">C7↔C20</t>
  </si>
  <si>
    <t xml:space="preserve">C7↔C27</t>
  </si>
  <si>
    <t xml:space="preserve">C7↔C82</t>
  </si>
  <si>
    <t xml:space="preserve">C8↔C9</t>
  </si>
  <si>
    <t xml:space="preserve">C8↔C21</t>
  </si>
  <si>
    <t xml:space="preserve">C8↔C22</t>
  </si>
  <si>
    <t xml:space="preserve">C8↔C27</t>
  </si>
  <si>
    <t xml:space="preserve">C9↔C10</t>
  </si>
  <si>
    <t xml:space="preserve">C9↔C23</t>
  </si>
  <si>
    <t xml:space="preserve">C9↔C24</t>
  </si>
  <si>
    <t xml:space="preserve">C9↔C27</t>
  </si>
  <si>
    <t xml:space="preserve">C10↔C11</t>
  </si>
  <si>
    <t xml:space="preserve">C10↔C25</t>
  </si>
  <si>
    <t xml:space="preserve">C10↔C27</t>
  </si>
  <si>
    <t xml:space="preserve">C10↔C83</t>
  </si>
  <si>
    <t xml:space="preserve">C11↔C26</t>
  </si>
  <si>
    <t xml:space="preserve">C11↔C83</t>
  </si>
  <si>
    <t xml:space="preserve">C12↔C13</t>
  </si>
  <si>
    <t xml:space="preserve">C12↔C26</t>
  </si>
  <si>
    <t xml:space="preserve">C13↔C14</t>
  </si>
  <si>
    <t xml:space="preserve">C13↔C25</t>
  </si>
  <si>
    <t xml:space="preserve">C14↔C18</t>
  </si>
  <si>
    <t xml:space="preserve">C14↔C24</t>
  </si>
  <si>
    <t xml:space="preserve">C15↔C16</t>
  </si>
  <si>
    <t xml:space="preserve">C15↔C18</t>
  </si>
  <si>
    <t xml:space="preserve">C15↔C23</t>
  </si>
  <si>
    <t xml:space="preserve">C16↔C17</t>
  </si>
  <si>
    <t xml:space="preserve">C16↔C22</t>
  </si>
  <si>
    <t xml:space="preserve">C17↔C21</t>
  </si>
  <si>
    <t xml:space="preserve">C17↔C22</t>
  </si>
  <si>
    <t xml:space="preserve">C18↔C23</t>
  </si>
  <si>
    <t xml:space="preserve">C18↔C24</t>
  </si>
  <si>
    <t xml:space="preserve">C19↔C20</t>
  </si>
  <si>
    <t xml:space="preserve">C20↔C21</t>
  </si>
  <si>
    <t xml:space="preserve">C21↔C22</t>
  </si>
  <si>
    <t xml:space="preserve">C22↔C23</t>
  </si>
  <si>
    <t xml:space="preserve">C23↔C24</t>
  </si>
  <si>
    <t xml:space="preserve">C24↔C25</t>
  </si>
  <si>
    <t xml:space="preserve">C25↔C26</t>
  </si>
  <si>
    <t xml:space="preserve">C27↔C82</t>
  </si>
  <si>
    <t xml:space="preserve">C27↔C83</t>
  </si>
  <si>
    <t xml:space="preserve">C82↔C83</t>
  </si>
  <si>
    <t xml:space="preserve">RESUMEN DE ASENTAMIENTO DIFERENCIAL MÁXIMO POR NODO</t>
  </si>
  <si>
    <t xml:space="preserve">Para cada nodo de columna, muestra su asentamiento y el máximo diferencial respecto a los nodos directamente conectados.</t>
  </si>
  <si>
    <t xml:space="preserve">NODO
(Columna)</t>
  </si>
  <si>
    <t xml:space="preserve">Nº NODOS
CONECTADOS</t>
  </si>
  <si>
    <t xml:space="preserve">Δs MÁX.
CONECTADOS (mm)</t>
  </si>
  <si>
    <t xml:space="preserve">NODO CON
Δs MÁX.</t>
  </si>
  <si>
    <t xml:space="preserve">DIST. ANGULAR
MÁX.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</si>
</sst>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"/>
    <numFmt numFmtId="167" formatCode="0.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7030A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6" hidden="false" customHeight="true" outlineLevel="0" collapsed="false"/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</row>
    <row r="5" customFormat="false" ht="15" hidden="false" customHeight="true" outlineLevel="0" collapsed="false">
      <c r="A5" s="6" t="s">
        <v>8</v>
      </c>
      <c r="B5" s="7" t="n">
        <v>-14600.9</v>
      </c>
      <c r="C5" s="7" t="n">
        <v>-9526.3</v>
      </c>
      <c r="D5" s="8"/>
      <c r="E5" s="9" t="n">
        <v>0</v>
      </c>
      <c r="F5" s="8"/>
    </row>
    <row r="6" customFormat="false" ht="15" hidden="false" customHeight="true" outlineLevel="0" collapsed="false">
      <c r="A6" s="6" t="s">
        <v>9</v>
      </c>
      <c r="B6" s="7" t="n">
        <v>14600.9</v>
      </c>
      <c r="C6" s="7" t="n">
        <v>-9526.3</v>
      </c>
      <c r="D6" s="8"/>
      <c r="E6" s="9" t="n">
        <v>0</v>
      </c>
      <c r="F6" s="8"/>
    </row>
    <row r="7" customFormat="false" ht="15" hidden="false" customHeight="true" outlineLevel="0" collapsed="false">
      <c r="A7" s="6" t="s">
        <v>10</v>
      </c>
      <c r="B7" s="7" t="n">
        <v>-17776.3</v>
      </c>
      <c r="C7" s="7" t="n">
        <v>-4026.3</v>
      </c>
      <c r="D7" s="8"/>
      <c r="E7" s="9" t="n">
        <v>0</v>
      </c>
      <c r="F7" s="8"/>
    </row>
    <row r="8" customFormat="false" ht="15" hidden="false" customHeight="true" outlineLevel="0" collapsed="false">
      <c r="A8" s="6" t="s">
        <v>11</v>
      </c>
      <c r="B8" s="7" t="n">
        <v>-15026.3</v>
      </c>
      <c r="C8" s="7" t="n">
        <v>736.9</v>
      </c>
      <c r="D8" s="8"/>
      <c r="E8" s="9" t="n">
        <v>0</v>
      </c>
      <c r="F8" s="8"/>
    </row>
    <row r="9" customFormat="false" ht="15" hidden="false" customHeight="true" outlineLevel="0" collapsed="false">
      <c r="A9" s="6" t="s">
        <v>12</v>
      </c>
      <c r="B9" s="7" t="n">
        <v>-12276.3</v>
      </c>
      <c r="C9" s="7" t="n">
        <v>5500</v>
      </c>
      <c r="D9" s="8"/>
      <c r="E9" s="9" t="n">
        <v>0</v>
      </c>
      <c r="F9" s="8"/>
    </row>
    <row r="10" customFormat="false" ht="15" hidden="false" customHeight="true" outlineLevel="0" collapsed="false">
      <c r="A10" s="6" t="s">
        <v>13</v>
      </c>
      <c r="B10" s="7" t="n">
        <v>-8250</v>
      </c>
      <c r="C10" s="7" t="n">
        <v>-9526.3</v>
      </c>
      <c r="D10" s="8"/>
      <c r="E10" s="9" t="n">
        <v>0</v>
      </c>
      <c r="F10" s="8"/>
    </row>
    <row r="11" customFormat="false" ht="15" hidden="false" customHeight="true" outlineLevel="0" collapsed="false">
      <c r="A11" s="6" t="s">
        <v>14</v>
      </c>
      <c r="B11" s="7" t="n">
        <v>-5500</v>
      </c>
      <c r="C11" s="7" t="n">
        <v>-4763.1</v>
      </c>
      <c r="D11" s="8"/>
      <c r="E11" s="9" t="n">
        <v>0</v>
      </c>
      <c r="F11" s="8"/>
    </row>
    <row r="12" customFormat="false" ht="15" hidden="false" customHeight="true" outlineLevel="0" collapsed="false">
      <c r="A12" s="6" t="s">
        <v>15</v>
      </c>
      <c r="B12" s="7" t="n">
        <v>-2750</v>
      </c>
      <c r="C12" s="7" t="n">
        <v>0</v>
      </c>
      <c r="D12" s="8"/>
      <c r="E12" s="9" t="n">
        <v>0</v>
      </c>
      <c r="F12" s="8"/>
    </row>
    <row r="13" customFormat="false" ht="15" hidden="false" customHeight="true" outlineLevel="0" collapsed="false">
      <c r="A13" s="6" t="s">
        <v>16</v>
      </c>
      <c r="B13" s="7" t="n">
        <v>2750</v>
      </c>
      <c r="C13" s="7" t="n">
        <v>0</v>
      </c>
      <c r="D13" s="8"/>
      <c r="E13" s="9" t="n">
        <v>0</v>
      </c>
      <c r="F13" s="8"/>
    </row>
    <row r="14" customFormat="false" ht="15" hidden="false" customHeight="true" outlineLevel="0" collapsed="false">
      <c r="A14" s="6" t="s">
        <v>17</v>
      </c>
      <c r="B14" s="7" t="n">
        <v>5500</v>
      </c>
      <c r="C14" s="7" t="n">
        <v>-4763.1</v>
      </c>
      <c r="D14" s="8"/>
      <c r="E14" s="9" t="n">
        <v>0</v>
      </c>
      <c r="F14" s="8"/>
    </row>
    <row r="15" customFormat="false" ht="15" hidden="false" customHeight="true" outlineLevel="0" collapsed="false">
      <c r="A15" s="6" t="s">
        <v>18</v>
      </c>
      <c r="B15" s="7" t="n">
        <v>8250</v>
      </c>
      <c r="C15" s="7" t="n">
        <v>-9526.3</v>
      </c>
      <c r="D15" s="8"/>
      <c r="E15" s="9" t="n">
        <v>0</v>
      </c>
      <c r="F15" s="8"/>
    </row>
    <row r="16" customFormat="false" ht="15" hidden="false" customHeight="true" outlineLevel="0" collapsed="false">
      <c r="A16" s="6" t="s">
        <v>19</v>
      </c>
      <c r="B16" s="7" t="n">
        <v>17776.3</v>
      </c>
      <c r="C16" s="7" t="n">
        <v>-4026.3</v>
      </c>
      <c r="D16" s="8"/>
      <c r="E16" s="9" t="n">
        <v>0</v>
      </c>
      <c r="F16" s="8"/>
    </row>
    <row r="17" customFormat="false" ht="15" hidden="false" customHeight="true" outlineLevel="0" collapsed="false">
      <c r="A17" s="6" t="s">
        <v>20</v>
      </c>
      <c r="B17" s="7" t="n">
        <v>15026.3</v>
      </c>
      <c r="C17" s="7" t="n">
        <v>736.9</v>
      </c>
      <c r="D17" s="8"/>
      <c r="E17" s="9" t="n">
        <v>0</v>
      </c>
      <c r="F17" s="8"/>
    </row>
    <row r="18" customFormat="false" ht="15" hidden="false" customHeight="true" outlineLevel="0" collapsed="false">
      <c r="A18" s="6" t="s">
        <v>21</v>
      </c>
      <c r="B18" s="7" t="n">
        <v>12276.3</v>
      </c>
      <c r="C18" s="7" t="n">
        <v>5500</v>
      </c>
      <c r="D18" s="8"/>
      <c r="E18" s="9" t="n">
        <v>0</v>
      </c>
      <c r="F18" s="8"/>
    </row>
    <row r="19" customFormat="false" ht="15" hidden="false" customHeight="true" outlineLevel="0" collapsed="false">
      <c r="A19" s="6" t="s">
        <v>22</v>
      </c>
      <c r="B19" s="7" t="n">
        <v>2750</v>
      </c>
      <c r="C19" s="7" t="n">
        <v>11000</v>
      </c>
      <c r="D19" s="8"/>
      <c r="E19" s="9" t="n">
        <v>0</v>
      </c>
      <c r="F19" s="8"/>
    </row>
    <row r="20" customFormat="false" ht="15" hidden="false" customHeight="true" outlineLevel="0" collapsed="false">
      <c r="A20" s="6" t="s">
        <v>23</v>
      </c>
      <c r="B20" s="7" t="n">
        <v>-2750</v>
      </c>
      <c r="C20" s="7" t="n">
        <v>11000</v>
      </c>
      <c r="D20" s="8"/>
      <c r="E20" s="9" t="n">
        <v>0</v>
      </c>
      <c r="F20" s="8"/>
    </row>
    <row r="21" customFormat="false" ht="15" hidden="false" customHeight="true" outlineLevel="0" collapsed="false">
      <c r="A21" s="6" t="s">
        <v>24</v>
      </c>
      <c r="B21" s="7" t="n">
        <v>-7513.1</v>
      </c>
      <c r="C21" s="7" t="n">
        <v>8250</v>
      </c>
      <c r="D21" s="8"/>
      <c r="E21" s="9" t="n">
        <v>0</v>
      </c>
      <c r="F21" s="8"/>
    </row>
    <row r="22" customFormat="false" ht="15" hidden="false" customHeight="true" outlineLevel="0" collapsed="false">
      <c r="A22" s="6" t="s">
        <v>25</v>
      </c>
      <c r="B22" s="7" t="n">
        <v>7513.1</v>
      </c>
      <c r="C22" s="7" t="n">
        <v>8250</v>
      </c>
      <c r="D22" s="8"/>
      <c r="E22" s="9" t="n">
        <v>0</v>
      </c>
      <c r="F22" s="8"/>
    </row>
    <row r="23" customFormat="false" ht="15" hidden="false" customHeight="true" outlineLevel="0" collapsed="false">
      <c r="A23" s="6" t="s">
        <v>26</v>
      </c>
      <c r="B23" s="7" t="n">
        <v>-13013.17</v>
      </c>
      <c r="C23" s="7" t="n">
        <v>-6776.29</v>
      </c>
      <c r="D23" s="8"/>
      <c r="E23" s="9" t="n">
        <v>0</v>
      </c>
      <c r="F23" s="8"/>
    </row>
    <row r="24" customFormat="false" ht="15" hidden="false" customHeight="true" outlineLevel="0" collapsed="false">
      <c r="A24" s="6" t="s">
        <v>27</v>
      </c>
      <c r="B24" s="7" t="n">
        <v>-10263.12</v>
      </c>
      <c r="C24" s="7" t="n">
        <v>-2013.12</v>
      </c>
      <c r="D24" s="8"/>
      <c r="E24" s="9" t="n">
        <v>0</v>
      </c>
      <c r="F24" s="8"/>
    </row>
    <row r="25" customFormat="false" ht="15" hidden="false" customHeight="true" outlineLevel="0" collapsed="false">
      <c r="A25" s="6" t="s">
        <v>28</v>
      </c>
      <c r="B25" s="7" t="n">
        <v>-7513.1</v>
      </c>
      <c r="C25" s="7" t="n">
        <v>2750</v>
      </c>
      <c r="D25" s="8"/>
      <c r="E25" s="9" t="n">
        <v>0</v>
      </c>
      <c r="F25" s="8"/>
    </row>
    <row r="26" customFormat="false" ht="15" hidden="false" customHeight="true" outlineLevel="0" collapsed="false">
      <c r="A26" s="6" t="s">
        <v>29</v>
      </c>
      <c r="B26" s="7" t="n">
        <v>-2750</v>
      </c>
      <c r="C26" s="7" t="n">
        <v>5500</v>
      </c>
      <c r="D26" s="8"/>
      <c r="E26" s="9" t="n">
        <v>0</v>
      </c>
      <c r="F26" s="8"/>
    </row>
    <row r="27" customFormat="false" ht="15" hidden="false" customHeight="true" outlineLevel="0" collapsed="false">
      <c r="A27" s="6" t="s">
        <v>30</v>
      </c>
      <c r="B27" s="7" t="n">
        <v>2750</v>
      </c>
      <c r="C27" s="7" t="n">
        <v>5500</v>
      </c>
      <c r="D27" s="8"/>
      <c r="E27" s="9" t="n">
        <v>0</v>
      </c>
      <c r="F27" s="8"/>
    </row>
    <row r="28" customFormat="false" ht="15" hidden="false" customHeight="true" outlineLevel="0" collapsed="false">
      <c r="A28" s="6" t="s">
        <v>31</v>
      </c>
      <c r="B28" s="7" t="n">
        <v>7513.1</v>
      </c>
      <c r="C28" s="7" t="n">
        <v>2750</v>
      </c>
      <c r="D28" s="8"/>
      <c r="E28" s="9" t="n">
        <v>0</v>
      </c>
      <c r="F28" s="8"/>
    </row>
    <row r="29" customFormat="false" ht="15" hidden="false" customHeight="true" outlineLevel="0" collapsed="false">
      <c r="A29" s="6" t="s">
        <v>32</v>
      </c>
      <c r="B29" s="7" t="n">
        <v>10263.12</v>
      </c>
      <c r="C29" s="7" t="n">
        <v>-2013.12</v>
      </c>
      <c r="D29" s="8"/>
      <c r="E29" s="9" t="n">
        <v>0</v>
      </c>
      <c r="F29" s="8"/>
    </row>
    <row r="30" customFormat="false" ht="15" hidden="false" customHeight="true" outlineLevel="0" collapsed="false">
      <c r="A30" s="6" t="s">
        <v>33</v>
      </c>
      <c r="B30" s="7" t="n">
        <v>13013.17</v>
      </c>
      <c r="C30" s="7" t="n">
        <v>-6776.29</v>
      </c>
      <c r="D30" s="8"/>
      <c r="E30" s="9" t="n">
        <v>0</v>
      </c>
      <c r="F30" s="8"/>
    </row>
    <row r="31" customFormat="false" ht="15" hidden="false" customHeight="true" outlineLevel="0" collapsed="false">
      <c r="A31" s="6" t="s">
        <v>34</v>
      </c>
      <c r="B31" s="7" t="n">
        <v>0</v>
      </c>
      <c r="C31" s="7" t="n">
        <v>-4763.1</v>
      </c>
      <c r="D31" s="8"/>
      <c r="E31" s="9" t="n">
        <v>0</v>
      </c>
      <c r="F31" s="8"/>
    </row>
    <row r="32" customFormat="false" ht="15" hidden="false" customHeight="true" outlineLevel="0" collapsed="false">
      <c r="A32" s="6" t="s">
        <v>35</v>
      </c>
      <c r="B32" s="7" t="n">
        <v>-18122.7</v>
      </c>
      <c r="C32" s="7" t="n">
        <v>-4026.7</v>
      </c>
      <c r="D32" s="8"/>
      <c r="E32" s="9" t="n">
        <v>0</v>
      </c>
      <c r="F32" s="8"/>
    </row>
    <row r="33" customFormat="false" ht="15" hidden="false" customHeight="true" outlineLevel="0" collapsed="false">
      <c r="A33" s="6" t="s">
        <v>36</v>
      </c>
      <c r="B33" s="7" t="n">
        <v>-16622.7</v>
      </c>
      <c r="C33" s="7" t="n">
        <v>-1428.2</v>
      </c>
      <c r="D33" s="8"/>
      <c r="E33" s="9" t="n">
        <v>0</v>
      </c>
      <c r="F33" s="8"/>
    </row>
    <row r="34" customFormat="false" ht="15" hidden="false" customHeight="true" outlineLevel="0" collapsed="false">
      <c r="A34" s="6" t="s">
        <v>37</v>
      </c>
      <c r="B34" s="7" t="n">
        <v>-15286.1</v>
      </c>
      <c r="C34" s="7" t="n">
        <v>886.9</v>
      </c>
      <c r="D34" s="8"/>
      <c r="E34" s="9" t="n">
        <v>0</v>
      </c>
      <c r="F34" s="8"/>
    </row>
    <row r="35" customFormat="false" ht="15" hidden="false" customHeight="true" outlineLevel="0" collapsed="false">
      <c r="A35" s="6" t="s">
        <v>38</v>
      </c>
      <c r="B35" s="7" t="n">
        <v>-13245.9</v>
      </c>
      <c r="C35" s="7" t="n">
        <v>4420.6</v>
      </c>
      <c r="D35" s="8"/>
      <c r="E35" s="9" t="n">
        <v>0</v>
      </c>
      <c r="F35" s="8"/>
    </row>
    <row r="36" customFormat="false" ht="15" hidden="false" customHeight="true" outlineLevel="0" collapsed="false">
      <c r="A36" s="6" t="s">
        <v>39</v>
      </c>
      <c r="B36" s="7" t="n">
        <v>-12495.9</v>
      </c>
      <c r="C36" s="7" t="n">
        <v>5719.6</v>
      </c>
      <c r="D36" s="8"/>
      <c r="E36" s="9" t="n">
        <v>0</v>
      </c>
      <c r="F36" s="8"/>
    </row>
    <row r="37" customFormat="false" ht="15" hidden="false" customHeight="true" outlineLevel="0" collapsed="false">
      <c r="A37" s="6" t="s">
        <v>40</v>
      </c>
      <c r="B37" s="7" t="n">
        <v>-11196.9</v>
      </c>
      <c r="C37" s="7" t="n">
        <v>6469.6</v>
      </c>
      <c r="D37" s="8"/>
      <c r="E37" s="9" t="n">
        <v>0</v>
      </c>
      <c r="F37" s="8"/>
    </row>
    <row r="38" customFormat="false" ht="15" hidden="false" customHeight="true" outlineLevel="0" collapsed="false">
      <c r="A38" s="6" t="s">
        <v>41</v>
      </c>
      <c r="B38" s="7" t="n">
        <v>-7663.1</v>
      </c>
      <c r="C38" s="7" t="n">
        <v>8509.8</v>
      </c>
      <c r="D38" s="8"/>
      <c r="E38" s="9" t="n">
        <v>0</v>
      </c>
      <c r="F38" s="8"/>
    </row>
    <row r="39" customFormat="false" ht="15" hidden="false" customHeight="true" outlineLevel="0" collapsed="false">
      <c r="A39" s="6" t="s">
        <v>42</v>
      </c>
      <c r="B39" s="7" t="n">
        <v>-5428.5</v>
      </c>
      <c r="C39" s="7" t="n">
        <v>9800</v>
      </c>
      <c r="D39" s="8"/>
      <c r="E39" s="9" t="n">
        <v>0</v>
      </c>
      <c r="F39" s="8"/>
    </row>
    <row r="40" customFormat="false" ht="15" hidden="false" customHeight="true" outlineLevel="0" collapsed="false">
      <c r="A40" s="6" t="s">
        <v>43</v>
      </c>
      <c r="B40" s="7" t="n">
        <v>-2830.4</v>
      </c>
      <c r="C40" s="7" t="n">
        <v>11300</v>
      </c>
      <c r="D40" s="8"/>
      <c r="E40" s="9" t="n">
        <v>0</v>
      </c>
      <c r="F40" s="8"/>
    </row>
    <row r="41" customFormat="false" ht="15" hidden="false" customHeight="true" outlineLevel="0" collapsed="false">
      <c r="A41" s="6" t="s">
        <v>44</v>
      </c>
      <c r="B41" s="7" t="n">
        <v>-1000</v>
      </c>
      <c r="C41" s="7" t="n">
        <v>11300</v>
      </c>
      <c r="D41" s="8"/>
      <c r="E41" s="9" t="n">
        <v>0</v>
      </c>
      <c r="F41" s="8"/>
    </row>
    <row r="42" customFormat="false" ht="15" hidden="false" customHeight="true" outlineLevel="0" collapsed="false">
      <c r="A42" s="6" t="s">
        <v>45</v>
      </c>
      <c r="B42" s="7" t="n">
        <v>1000</v>
      </c>
      <c r="C42" s="7" t="n">
        <v>11300</v>
      </c>
      <c r="D42" s="8"/>
      <c r="E42" s="9" t="n">
        <v>0</v>
      </c>
      <c r="F42" s="8"/>
    </row>
    <row r="43" customFormat="false" ht="15" hidden="false" customHeight="true" outlineLevel="0" collapsed="false">
      <c r="A43" s="6" t="s">
        <v>46</v>
      </c>
      <c r="B43" s="7" t="n">
        <v>2830.4</v>
      </c>
      <c r="C43" s="7" t="n">
        <v>11300</v>
      </c>
      <c r="D43" s="8"/>
      <c r="E43" s="9" t="n">
        <v>0</v>
      </c>
      <c r="F43" s="8"/>
    </row>
    <row r="44" customFormat="false" ht="15" hidden="false" customHeight="true" outlineLevel="0" collapsed="false">
      <c r="A44" s="6" t="s">
        <v>47</v>
      </c>
      <c r="B44" s="7" t="n">
        <v>5428.5</v>
      </c>
      <c r="C44" s="7" t="n">
        <v>9800</v>
      </c>
      <c r="D44" s="8"/>
      <c r="E44" s="9" t="n">
        <v>0</v>
      </c>
      <c r="F44" s="8"/>
    </row>
    <row r="45" customFormat="false" ht="15" hidden="false" customHeight="true" outlineLevel="0" collapsed="false">
      <c r="A45" s="6" t="s">
        <v>48</v>
      </c>
      <c r="B45" s="7" t="n">
        <v>7663.1</v>
      </c>
      <c r="C45" s="7" t="n">
        <v>8509.8</v>
      </c>
      <c r="D45" s="8"/>
      <c r="E45" s="9" t="n">
        <v>0</v>
      </c>
      <c r="F45" s="8"/>
    </row>
    <row r="46" customFormat="false" ht="15" hidden="false" customHeight="true" outlineLevel="0" collapsed="false">
      <c r="A46" s="6" t="s">
        <v>49</v>
      </c>
      <c r="B46" s="7" t="n">
        <v>11196.9</v>
      </c>
      <c r="C46" s="7" t="n">
        <v>6469.6</v>
      </c>
      <c r="D46" s="8"/>
      <c r="E46" s="9" t="n">
        <v>0</v>
      </c>
      <c r="F46" s="8"/>
    </row>
    <row r="47" customFormat="false" ht="15" hidden="false" customHeight="true" outlineLevel="0" collapsed="false">
      <c r="A47" s="6" t="s">
        <v>50</v>
      </c>
      <c r="B47" s="7" t="n">
        <v>12495.9</v>
      </c>
      <c r="C47" s="7" t="n">
        <v>5719.6</v>
      </c>
      <c r="D47" s="8"/>
      <c r="E47" s="9" t="n">
        <v>0</v>
      </c>
      <c r="F47" s="8"/>
    </row>
    <row r="48" customFormat="false" ht="15" hidden="false" customHeight="true" outlineLevel="0" collapsed="false">
      <c r="A48" s="6" t="s">
        <v>51</v>
      </c>
      <c r="B48" s="7" t="n">
        <v>13245.9</v>
      </c>
      <c r="C48" s="7" t="n">
        <v>4420.6</v>
      </c>
      <c r="D48" s="8"/>
      <c r="E48" s="9" t="n">
        <v>0</v>
      </c>
      <c r="F48" s="8"/>
    </row>
    <row r="49" customFormat="false" ht="15" hidden="false" customHeight="true" outlineLevel="0" collapsed="false">
      <c r="A49" s="6" t="s">
        <v>52</v>
      </c>
      <c r="B49" s="7" t="n">
        <v>15286.1</v>
      </c>
      <c r="C49" s="7" t="n">
        <v>888.69</v>
      </c>
      <c r="D49" s="8"/>
      <c r="E49" s="9" t="n">
        <v>0</v>
      </c>
      <c r="F49" s="8"/>
    </row>
    <row r="50" customFormat="false" ht="15" hidden="false" customHeight="true" outlineLevel="0" collapsed="false">
      <c r="A50" s="6" t="s">
        <v>53</v>
      </c>
      <c r="B50" s="7" t="n">
        <v>16622.7</v>
      </c>
      <c r="C50" s="7" t="n">
        <v>-1428.2</v>
      </c>
      <c r="D50" s="8"/>
      <c r="E50" s="9" t="n">
        <v>0</v>
      </c>
      <c r="F50" s="8"/>
    </row>
    <row r="51" customFormat="false" ht="15" hidden="false" customHeight="true" outlineLevel="0" collapsed="false">
      <c r="A51" s="6" t="s">
        <v>54</v>
      </c>
      <c r="B51" s="7" t="n">
        <v>18122.7</v>
      </c>
      <c r="C51" s="7" t="n">
        <v>-4026.3</v>
      </c>
      <c r="D51" s="8"/>
      <c r="E51" s="9" t="n">
        <v>0</v>
      </c>
      <c r="F51" s="8"/>
    </row>
    <row r="52" customFormat="false" ht="15" hidden="false" customHeight="true" outlineLevel="0" collapsed="false">
      <c r="A52" s="6" t="s">
        <v>55</v>
      </c>
      <c r="B52" s="7" t="n">
        <v>14774.1</v>
      </c>
      <c r="C52" s="7" t="n">
        <v>-9826.3</v>
      </c>
      <c r="D52" s="8"/>
      <c r="E52" s="9" t="n">
        <v>0</v>
      </c>
      <c r="F52" s="8"/>
    </row>
    <row r="53" customFormat="false" ht="15" hidden="false" customHeight="true" outlineLevel="0" collapsed="false">
      <c r="A53" s="6" t="s">
        <v>56</v>
      </c>
      <c r="B53" s="7" t="n">
        <v>11076.3</v>
      </c>
      <c r="C53" s="7" t="n">
        <v>-9826.3</v>
      </c>
      <c r="D53" s="8"/>
      <c r="E53" s="9" t="n">
        <v>0</v>
      </c>
      <c r="F53" s="8"/>
    </row>
    <row r="54" customFormat="false" ht="15" hidden="false" customHeight="true" outlineLevel="0" collapsed="false">
      <c r="A54" s="6" t="s">
        <v>57</v>
      </c>
      <c r="B54" s="7" t="n">
        <v>8076.8</v>
      </c>
      <c r="C54" s="7" t="n">
        <v>-9826.3</v>
      </c>
      <c r="D54" s="8"/>
      <c r="E54" s="9" t="n">
        <v>0</v>
      </c>
      <c r="F54" s="8"/>
    </row>
    <row r="55" customFormat="false" ht="15" hidden="false" customHeight="true" outlineLevel="0" collapsed="false">
      <c r="A55" s="6" t="s">
        <v>58</v>
      </c>
      <c r="B55" s="7" t="n">
        <v>-8076.8</v>
      </c>
      <c r="C55" s="7" t="n">
        <v>-9826.3</v>
      </c>
      <c r="D55" s="8"/>
      <c r="E55" s="9" t="n">
        <v>0</v>
      </c>
      <c r="F55" s="8"/>
    </row>
    <row r="56" customFormat="false" ht="15" hidden="false" customHeight="true" outlineLevel="0" collapsed="false">
      <c r="A56" s="6" t="s">
        <v>59</v>
      </c>
      <c r="B56" s="7" t="n">
        <v>-11076.3</v>
      </c>
      <c r="C56" s="7" t="n">
        <v>-9826.3</v>
      </c>
      <c r="D56" s="8"/>
      <c r="E56" s="9" t="n">
        <v>0</v>
      </c>
      <c r="F56" s="8"/>
    </row>
    <row r="57" customFormat="false" ht="15" hidden="false" customHeight="true" outlineLevel="0" collapsed="false">
      <c r="A57" s="6" t="s">
        <v>60</v>
      </c>
      <c r="B57" s="7" t="n">
        <v>-14774.1</v>
      </c>
      <c r="C57" s="7" t="n">
        <v>-9826.3</v>
      </c>
      <c r="D57" s="8"/>
      <c r="E57" s="9" t="n">
        <v>0</v>
      </c>
      <c r="F57" s="8"/>
    </row>
    <row r="58" customFormat="false" ht="15" hidden="false" customHeight="true" outlineLevel="0" collapsed="false">
      <c r="A58" s="6" t="s">
        <v>61</v>
      </c>
      <c r="B58" s="7" t="n">
        <v>-16622.7</v>
      </c>
      <c r="C58" s="7" t="n">
        <v>-6624.4</v>
      </c>
      <c r="D58" s="8"/>
      <c r="E58" s="9" t="n">
        <v>0</v>
      </c>
      <c r="F58" s="8"/>
    </row>
    <row r="59" customFormat="false" ht="15" hidden="false" customHeight="true" outlineLevel="0" collapsed="false">
      <c r="A59" s="6" t="s">
        <v>62</v>
      </c>
      <c r="B59" s="7" t="n">
        <v>16622.7</v>
      </c>
      <c r="C59" s="7" t="n">
        <v>-6624.4</v>
      </c>
      <c r="D59" s="8"/>
      <c r="E59" s="9" t="n">
        <v>0</v>
      </c>
      <c r="F59" s="8"/>
    </row>
    <row r="60" customFormat="false" ht="15" hidden="false" customHeight="true" outlineLevel="0" collapsed="false">
      <c r="A60" s="6" t="s">
        <v>63</v>
      </c>
      <c r="B60" s="7" t="n">
        <v>2750</v>
      </c>
      <c r="C60" s="7" t="n">
        <v>-9826.3</v>
      </c>
      <c r="D60" s="8"/>
      <c r="E60" s="9" t="n">
        <v>0</v>
      </c>
      <c r="F60" s="8"/>
    </row>
    <row r="61" customFormat="false" ht="15" hidden="false" customHeight="true" outlineLevel="0" collapsed="false">
      <c r="A61" s="6" t="s">
        <v>64</v>
      </c>
      <c r="B61" s="7" t="n">
        <v>-2750</v>
      </c>
      <c r="C61" s="7" t="n">
        <v>-9826.3</v>
      </c>
      <c r="D61" s="8"/>
      <c r="E61" s="9" t="n">
        <v>0</v>
      </c>
      <c r="F61" s="8"/>
    </row>
    <row r="62" customFormat="false" ht="15" hidden="false" customHeight="true" outlineLevel="0" collapsed="false">
      <c r="A62" s="6" t="s">
        <v>65</v>
      </c>
      <c r="B62" s="7" t="n">
        <v>-2750</v>
      </c>
      <c r="C62" s="7" t="n">
        <v>7250</v>
      </c>
      <c r="D62" s="8"/>
      <c r="E62" s="9" t="n">
        <v>0</v>
      </c>
      <c r="F62" s="8"/>
    </row>
    <row r="63" customFormat="false" ht="15" hidden="false" customHeight="true" outlineLevel="0" collapsed="false">
      <c r="A63" s="6" t="s">
        <v>66</v>
      </c>
      <c r="B63" s="7" t="n">
        <v>2750</v>
      </c>
      <c r="C63" s="7" t="n">
        <v>7250</v>
      </c>
      <c r="D63" s="8"/>
      <c r="E63" s="9" t="n">
        <v>0</v>
      </c>
      <c r="F63" s="8"/>
    </row>
    <row r="64" customFormat="false" ht="15" hidden="false" customHeight="true" outlineLevel="0" collapsed="false">
      <c r="A64" s="6" t="s">
        <v>67</v>
      </c>
      <c r="B64" s="7" t="n">
        <v>-2750</v>
      </c>
      <c r="C64" s="7" t="n">
        <v>9250</v>
      </c>
      <c r="D64" s="8"/>
      <c r="E64" s="9" t="n">
        <v>0</v>
      </c>
      <c r="F64" s="8"/>
    </row>
    <row r="65" customFormat="false" ht="15" hidden="false" customHeight="true" outlineLevel="0" collapsed="false">
      <c r="A65" s="6" t="s">
        <v>68</v>
      </c>
      <c r="B65" s="7" t="n">
        <v>2750</v>
      </c>
      <c r="C65" s="7" t="n">
        <v>9250</v>
      </c>
      <c r="D65" s="8"/>
      <c r="E65" s="9" t="n">
        <v>0</v>
      </c>
      <c r="F65" s="8"/>
    </row>
    <row r="66" customFormat="false" ht="15" hidden="false" customHeight="true" outlineLevel="0" collapsed="false">
      <c r="A66" s="6" t="s">
        <v>69</v>
      </c>
      <c r="B66" s="7" t="n">
        <v>-2576.3</v>
      </c>
      <c r="C66" s="7" t="n">
        <v>-300</v>
      </c>
      <c r="D66" s="8"/>
      <c r="E66" s="9" t="n">
        <v>0</v>
      </c>
      <c r="F66" s="8"/>
    </row>
    <row r="67" customFormat="false" ht="15" hidden="false" customHeight="true" outlineLevel="0" collapsed="false">
      <c r="A67" s="6" t="s">
        <v>70</v>
      </c>
      <c r="B67" s="7" t="n">
        <v>-3326.8</v>
      </c>
      <c r="C67" s="7" t="n">
        <v>-1599</v>
      </c>
      <c r="D67" s="8"/>
      <c r="E67" s="9" t="n">
        <v>0</v>
      </c>
      <c r="F67" s="8"/>
    </row>
    <row r="68" customFormat="false" ht="15" hidden="false" customHeight="true" outlineLevel="0" collapsed="false">
      <c r="A68" s="6" t="s">
        <v>71</v>
      </c>
      <c r="B68" s="7" t="n">
        <v>-1000</v>
      </c>
      <c r="C68" s="7" t="n">
        <v>-300</v>
      </c>
      <c r="D68" s="8"/>
      <c r="E68" s="9" t="n">
        <v>0</v>
      </c>
      <c r="F68" s="8"/>
    </row>
    <row r="69" customFormat="false" ht="15" hidden="false" customHeight="true" outlineLevel="0" collapsed="false">
      <c r="A69" s="6" t="s">
        <v>72</v>
      </c>
      <c r="B69" s="7" t="n">
        <v>1000</v>
      </c>
      <c r="C69" s="7" t="n">
        <v>-300</v>
      </c>
      <c r="D69" s="8"/>
      <c r="E69" s="9" t="n">
        <v>0</v>
      </c>
      <c r="F69" s="8"/>
    </row>
    <row r="70" customFormat="false" ht="15" hidden="false" customHeight="true" outlineLevel="0" collapsed="false">
      <c r="A70" s="6" t="s">
        <v>73</v>
      </c>
      <c r="B70" s="7" t="n">
        <v>2576.3</v>
      </c>
      <c r="C70" s="7" t="n">
        <v>-300</v>
      </c>
      <c r="D70" s="8"/>
      <c r="E70" s="9" t="n">
        <v>0</v>
      </c>
      <c r="F70" s="8"/>
    </row>
    <row r="71" customFormat="false" ht="15" hidden="false" customHeight="true" outlineLevel="0" collapsed="false">
      <c r="A71" s="6" t="s">
        <v>74</v>
      </c>
      <c r="B71" s="7" t="n">
        <v>3326.3</v>
      </c>
      <c r="C71" s="7" t="n">
        <v>-1599</v>
      </c>
      <c r="D71" s="8"/>
      <c r="E71" s="9" t="n">
        <v>0</v>
      </c>
      <c r="F71" s="8"/>
    </row>
    <row r="72" customFormat="false" ht="15" hidden="false" customHeight="true" outlineLevel="0" collapsed="false">
      <c r="A72" s="6" t="s">
        <v>75</v>
      </c>
      <c r="B72" s="7" t="n">
        <v>-6576.3</v>
      </c>
      <c r="C72" s="7" t="n">
        <v>-7228.2</v>
      </c>
      <c r="D72" s="8"/>
      <c r="E72" s="9" t="n">
        <v>0</v>
      </c>
      <c r="F72" s="8"/>
    </row>
    <row r="73" customFormat="false" ht="15" hidden="false" customHeight="true" outlineLevel="0" collapsed="false">
      <c r="A73" s="6" t="s">
        <v>76</v>
      </c>
      <c r="B73" s="7" t="n">
        <v>6576.3</v>
      </c>
      <c r="C73" s="7" t="n">
        <v>-7228.2</v>
      </c>
      <c r="D73" s="8"/>
      <c r="E73" s="9" t="n">
        <v>0</v>
      </c>
      <c r="F73" s="8"/>
    </row>
    <row r="74" customFormat="false" ht="15" hidden="false" customHeight="true" outlineLevel="0" collapsed="false">
      <c r="A74" s="6" t="s">
        <v>77</v>
      </c>
      <c r="B74" s="7" t="n">
        <v>-5240.2</v>
      </c>
      <c r="C74" s="7" t="n">
        <v>-4913.1</v>
      </c>
      <c r="D74" s="8"/>
      <c r="E74" s="9" t="n">
        <v>0</v>
      </c>
      <c r="F74" s="8"/>
    </row>
    <row r="75" customFormat="false" ht="15" hidden="false" customHeight="true" outlineLevel="0" collapsed="false">
      <c r="A75" s="6" t="s">
        <v>78</v>
      </c>
      <c r="B75" s="7" t="n">
        <v>5240.2</v>
      </c>
      <c r="C75" s="7" t="n">
        <v>-4913.1</v>
      </c>
      <c r="D75" s="8"/>
      <c r="E75" s="9" t="n">
        <v>0</v>
      </c>
      <c r="F75" s="8"/>
    </row>
    <row r="76" customFormat="false" ht="15" hidden="false" customHeight="true" outlineLevel="0" collapsed="false">
      <c r="A76" s="6" t="s">
        <v>79</v>
      </c>
      <c r="B76" s="7" t="n">
        <v>0</v>
      </c>
      <c r="C76" s="7" t="n">
        <v>-4913.1</v>
      </c>
      <c r="D76" s="8"/>
      <c r="E76" s="9" t="n">
        <v>0</v>
      </c>
      <c r="F76" s="8"/>
    </row>
    <row r="77" customFormat="false" ht="15" hidden="false" customHeight="true" outlineLevel="0" collapsed="false">
      <c r="A77" s="6" t="s">
        <v>80</v>
      </c>
      <c r="B77" s="7" t="n">
        <v>-2750</v>
      </c>
      <c r="C77" s="7" t="n">
        <v>-9526.3</v>
      </c>
      <c r="D77" s="8"/>
      <c r="E77" s="9" t="n">
        <v>0</v>
      </c>
      <c r="F77" s="8"/>
    </row>
    <row r="78" customFormat="false" ht="15" hidden="false" customHeight="true" outlineLevel="0" collapsed="false">
      <c r="A78" s="6" t="s">
        <v>81</v>
      </c>
      <c r="B78" s="7" t="n">
        <v>2750</v>
      </c>
      <c r="C78" s="7" t="n">
        <v>-9526.3</v>
      </c>
      <c r="D78" s="8"/>
      <c r="E78" s="9" t="n">
        <v>0</v>
      </c>
      <c r="F78" s="8"/>
    </row>
    <row r="79" customFormat="false" ht="15" hidden="false" customHeight="true" outlineLevel="0" collapsed="false">
      <c r="A79" s="6" t="s">
        <v>82</v>
      </c>
      <c r="B79" s="7" t="n">
        <v>-16332.9</v>
      </c>
      <c r="C79" s="7" t="n">
        <v>-12526.3</v>
      </c>
      <c r="D79" s="8"/>
      <c r="E79" s="9" t="n">
        <v>0</v>
      </c>
      <c r="F79" s="8"/>
    </row>
    <row r="80" customFormat="false" ht="15" hidden="false" customHeight="true" outlineLevel="0" collapsed="false">
      <c r="A80" s="6" t="s">
        <v>83</v>
      </c>
      <c r="B80" s="7" t="n">
        <v>-8076.3</v>
      </c>
      <c r="C80" s="7" t="n">
        <v>-12526.3</v>
      </c>
      <c r="D80" s="8"/>
      <c r="E80" s="9" t="n">
        <v>0</v>
      </c>
      <c r="F80" s="8"/>
    </row>
    <row r="81" customFormat="false" ht="15" hidden="false" customHeight="true" outlineLevel="0" collapsed="false">
      <c r="A81" s="6" t="s">
        <v>84</v>
      </c>
      <c r="B81" s="7" t="n">
        <v>-2750</v>
      </c>
      <c r="C81" s="7" t="n">
        <v>-12526.3</v>
      </c>
      <c r="D81" s="8"/>
      <c r="E81" s="9" t="n">
        <v>0</v>
      </c>
      <c r="F81" s="8"/>
    </row>
    <row r="82" customFormat="false" ht="15" hidden="false" customHeight="true" outlineLevel="0" collapsed="false">
      <c r="A82" s="6" t="s">
        <v>85</v>
      </c>
      <c r="B82" s="7" t="n">
        <v>2750</v>
      </c>
      <c r="C82" s="7" t="n">
        <v>-12526.3</v>
      </c>
      <c r="D82" s="8"/>
      <c r="E82" s="9" t="n">
        <v>0</v>
      </c>
      <c r="F82" s="8"/>
    </row>
    <row r="83" customFormat="false" ht="15" hidden="false" customHeight="true" outlineLevel="0" collapsed="false">
      <c r="A83" s="6" t="s">
        <v>86</v>
      </c>
      <c r="B83" s="7" t="n">
        <v>8076.3</v>
      </c>
      <c r="C83" s="7" t="n">
        <v>-12526.3</v>
      </c>
      <c r="D83" s="8"/>
      <c r="E83" s="9" t="n">
        <v>0</v>
      </c>
      <c r="F83" s="8"/>
    </row>
    <row r="84" customFormat="false" ht="15" hidden="false" customHeight="true" outlineLevel="0" collapsed="false">
      <c r="A84" s="6" t="s">
        <v>87</v>
      </c>
      <c r="B84" s="7" t="n">
        <v>16332.9</v>
      </c>
      <c r="C84" s="7" t="n">
        <v>-12526.3</v>
      </c>
      <c r="D84" s="8"/>
      <c r="E84" s="9" t="n">
        <v>0</v>
      </c>
      <c r="F84" s="8"/>
    </row>
    <row r="85" customFormat="false" ht="15" hidden="false" customHeight="true" outlineLevel="0" collapsed="false">
      <c r="A85" s="6" t="s">
        <v>88</v>
      </c>
      <c r="B85" s="7" t="n">
        <v>19681.5</v>
      </c>
      <c r="C85" s="7" t="n">
        <v>-6726.3</v>
      </c>
      <c r="D85" s="8"/>
      <c r="E85" s="9" t="n">
        <v>0</v>
      </c>
      <c r="F85" s="8"/>
    </row>
    <row r="86" customFormat="false" ht="15" hidden="false" customHeight="true" outlineLevel="0" collapsed="false">
      <c r="A86" s="6" t="s">
        <v>89</v>
      </c>
      <c r="B86" s="7" t="n">
        <v>20461</v>
      </c>
      <c r="C86" s="7" t="n">
        <v>-2676.3</v>
      </c>
      <c r="D86" s="8"/>
      <c r="E86" s="9" t="n">
        <v>0</v>
      </c>
      <c r="F86" s="8"/>
    </row>
    <row r="87" customFormat="false" ht="15" hidden="false" customHeight="true" outlineLevel="0" collapsed="false">
      <c r="A87" s="6" t="s">
        <v>90</v>
      </c>
      <c r="B87" s="7" t="n">
        <v>-19681.5</v>
      </c>
      <c r="C87" s="7" t="n">
        <v>-6726.3</v>
      </c>
      <c r="D87" s="8"/>
      <c r="E87" s="9" t="n">
        <v>0</v>
      </c>
      <c r="F87" s="8"/>
    </row>
    <row r="88" customFormat="false" ht="15" hidden="false" customHeight="true" outlineLevel="0" collapsed="false">
      <c r="A88" s="6" t="s">
        <v>91</v>
      </c>
      <c r="B88" s="7" t="n">
        <v>-20461</v>
      </c>
      <c r="C88" s="7" t="n">
        <v>-2676.3</v>
      </c>
      <c r="D88" s="8"/>
      <c r="E88" s="9" t="n">
        <v>0</v>
      </c>
      <c r="F88" s="8"/>
    </row>
    <row r="89" customFormat="false" ht="15" hidden="false" customHeight="true" outlineLevel="0" collapsed="false">
      <c r="A89" s="6" t="s">
        <v>92</v>
      </c>
      <c r="B89" s="7" t="n">
        <v>-17624.4</v>
      </c>
      <c r="C89" s="7" t="n">
        <v>2236.9</v>
      </c>
      <c r="D89" s="8"/>
      <c r="E89" s="9" t="n">
        <v>0</v>
      </c>
      <c r="F89" s="8"/>
    </row>
    <row r="90" customFormat="false" ht="15" hidden="false" customHeight="true" outlineLevel="0" collapsed="false">
      <c r="A90" s="6" t="s">
        <v>93</v>
      </c>
      <c r="B90" s="7" t="n">
        <v>-14834.2</v>
      </c>
      <c r="C90" s="7" t="n">
        <v>7069.6</v>
      </c>
      <c r="D90" s="8"/>
      <c r="E90" s="9" t="n">
        <v>0</v>
      </c>
      <c r="F90" s="8"/>
    </row>
    <row r="91" customFormat="false" ht="15" hidden="false" customHeight="true" outlineLevel="0" collapsed="false">
      <c r="A91" s="6" t="s">
        <v>94</v>
      </c>
      <c r="B91" s="7" t="n">
        <v>-9013.1</v>
      </c>
      <c r="C91" s="7" t="n">
        <v>10848.1</v>
      </c>
      <c r="D91" s="8"/>
      <c r="E91" s="9" t="n">
        <v>0</v>
      </c>
      <c r="F91" s="8"/>
    </row>
    <row r="92" customFormat="false" ht="15" hidden="false" customHeight="true" outlineLevel="0" collapsed="false">
      <c r="A92" s="6" t="s">
        <v>95</v>
      </c>
      <c r="B92" s="7" t="n">
        <v>-2830.4</v>
      </c>
      <c r="C92" s="7" t="n">
        <v>14000</v>
      </c>
      <c r="D92" s="8"/>
      <c r="E92" s="9" t="n">
        <v>0</v>
      </c>
      <c r="F92" s="8"/>
    </row>
    <row r="93" customFormat="false" ht="15" hidden="false" customHeight="true" outlineLevel="0" collapsed="false">
      <c r="A93" s="6" t="s">
        <v>96</v>
      </c>
      <c r="B93" s="7" t="n">
        <v>2830.4</v>
      </c>
      <c r="C93" s="7" t="n">
        <v>14000</v>
      </c>
      <c r="D93" s="8"/>
      <c r="E93" s="9" t="n">
        <v>0</v>
      </c>
      <c r="F93" s="8"/>
    </row>
    <row r="94" customFormat="false" ht="15" hidden="false" customHeight="true" outlineLevel="0" collapsed="false">
      <c r="A94" s="6" t="s">
        <v>97</v>
      </c>
      <c r="B94" s="7" t="n">
        <v>9013.1</v>
      </c>
      <c r="C94" s="7" t="n">
        <v>10848.1</v>
      </c>
      <c r="D94" s="8"/>
      <c r="E94" s="9" t="n">
        <v>0</v>
      </c>
      <c r="F94" s="8"/>
    </row>
    <row r="95" customFormat="false" ht="15" hidden="false" customHeight="true" outlineLevel="0" collapsed="false">
      <c r="A95" s="6" t="s">
        <v>98</v>
      </c>
      <c r="B95" s="7" t="n">
        <v>14834.2</v>
      </c>
      <c r="C95" s="7" t="n">
        <v>7069.6</v>
      </c>
      <c r="D95" s="8"/>
      <c r="E95" s="9" t="n">
        <v>0</v>
      </c>
      <c r="F95" s="8"/>
    </row>
    <row r="96" customFormat="false" ht="15" hidden="false" customHeight="true" outlineLevel="0" collapsed="false">
      <c r="A96" s="6" t="s">
        <v>99</v>
      </c>
      <c r="B96" s="7" t="n">
        <v>17624.4</v>
      </c>
      <c r="C96" s="7" t="n">
        <v>2236.8</v>
      </c>
      <c r="D96" s="8"/>
      <c r="E96" s="9" t="n">
        <v>0</v>
      </c>
      <c r="F96" s="8"/>
    </row>
    <row r="97" customFormat="false" ht="15" hidden="false" customHeight="true" outlineLevel="0" collapsed="false">
      <c r="A97" s="6" t="s">
        <v>100</v>
      </c>
      <c r="B97" s="7" t="n">
        <v>3553.8</v>
      </c>
      <c r="C97" s="7" t="n">
        <v>14000</v>
      </c>
      <c r="D97" s="8"/>
      <c r="E97" s="9" t="n">
        <v>0</v>
      </c>
      <c r="F97" s="8"/>
    </row>
    <row r="98" customFormat="false" ht="15" hidden="false" customHeight="true" outlineLevel="0" collapsed="false">
      <c r="A98" s="6" t="s">
        <v>101</v>
      </c>
      <c r="B98" s="7" t="n">
        <v>-3553.8</v>
      </c>
      <c r="C98" s="7" t="n">
        <v>14000</v>
      </c>
      <c r="D98" s="8"/>
      <c r="E98" s="9" t="n">
        <v>0</v>
      </c>
      <c r="F98" s="8"/>
    </row>
    <row r="101" customFormat="false" ht="15" hidden="false" customHeight="true" outlineLevel="0" collapsed="false">
      <c r="A101" s="10" t="s">
        <v>102</v>
      </c>
      <c r="B101" s="10"/>
      <c r="C101" s="10"/>
      <c r="D101" s="10"/>
      <c r="E101" s="10"/>
      <c r="F101" s="10"/>
    </row>
  </sheetData>
  <mergeCells count="3">
    <mergeCell ref="A1:F1"/>
    <mergeCell ref="A2:F2"/>
    <mergeCell ref="A101:F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9"/>
    <col collapsed="false" customWidth="true" hidden="false" outlineLevel="0" max="8" min="4" style="1" width="14"/>
    <col collapsed="false" customWidth="true" hidden="false" outlineLevel="0" max="10" min="9" style="1" width="16"/>
    <col collapsed="false" customWidth="true" hidden="false" outlineLevel="0" max="11" min="11" style="0" width="14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104</v>
      </c>
      <c r="B2" s="3"/>
      <c r="C2" s="3"/>
      <c r="D2" s="3"/>
      <c r="E2" s="3"/>
      <c r="F2" s="3"/>
      <c r="G2" s="3"/>
      <c r="H2" s="3"/>
      <c r="I2" s="3"/>
      <c r="J2" s="3"/>
      <c r="L2" s="11" t="s">
        <v>105</v>
      </c>
      <c r="M2" s="12" t="n">
        <v>500</v>
      </c>
    </row>
    <row r="3" customFormat="false" ht="6" hidden="false" customHeight="true" outlineLevel="0" collapsed="false">
      <c r="L3" s="13" t="s">
        <v>106</v>
      </c>
      <c r="M3" s="13"/>
    </row>
    <row r="4" customFormat="false" ht="42" hidden="false" customHeight="true" outlineLevel="0" collapsed="false">
      <c r="A4" s="14" t="s">
        <v>107</v>
      </c>
      <c r="B4" s="14" t="s">
        <v>108</v>
      </c>
      <c r="C4" s="14" t="s">
        <v>109</v>
      </c>
      <c r="D4" s="15" t="s">
        <v>110</v>
      </c>
      <c r="E4" s="15" t="s">
        <v>111</v>
      </c>
      <c r="F4" s="15" t="s">
        <v>112</v>
      </c>
      <c r="G4" s="15" t="s">
        <v>113</v>
      </c>
      <c r="H4" s="14" t="s">
        <v>114</v>
      </c>
      <c r="I4" s="14" t="s">
        <v>115</v>
      </c>
      <c r="J4" s="14" t="s">
        <v>116</v>
      </c>
      <c r="K4" s="16" t="s">
        <v>117</v>
      </c>
      <c r="L4" s="17" t="s">
        <v>118</v>
      </c>
      <c r="M4" s="14" t="s">
        <v>119</v>
      </c>
      <c r="N4" s="14" t="s">
        <v>120</v>
      </c>
    </row>
    <row r="5" customFormat="false" ht="15" hidden="false" customHeight="true" outlineLevel="0" collapsed="false">
      <c r="A5" s="6" t="s">
        <v>121</v>
      </c>
      <c r="B5" s="18" t="str">
        <f aca="false">ASENTAMIENTOS!A5</f>
        <v>1</v>
      </c>
      <c r="C5" s="18" t="str">
        <f aca="false">ASENTAMIENTOS!A7</f>
        <v>3</v>
      </c>
      <c r="D5" s="19" t="n">
        <f aca="false">COORDENADAS!B2</f>
        <v>-14600.9</v>
      </c>
      <c r="E5" s="19" t="n">
        <f aca="false">COORDENADAS!C2</f>
        <v>-9526.3</v>
      </c>
      <c r="F5" s="19" t="n">
        <f aca="false">COORDENADAS!B4</f>
        <v>-17776.3</v>
      </c>
      <c r="G5" s="19" t="n">
        <f aca="false">COORDENADAS!C4</f>
        <v>-4026.3</v>
      </c>
      <c r="H5" s="20" t="n">
        <f aca="false">SQRT((F5-D5)^2+(G5-E5)^2)</f>
        <v>6350.83972085582</v>
      </c>
      <c r="I5" s="21" t="n">
        <f aca="false">ASENTAMIENTOS!E5</f>
        <v>0</v>
      </c>
      <c r="J5" s="21" t="n">
        <f aca="false">ASENTAMIENTOS!E7</f>
        <v>0</v>
      </c>
      <c r="K5" s="22" t="n">
        <f aca="false">ABS(I5-J5)</f>
        <v>0</v>
      </c>
      <c r="L5" s="23" t="n">
        <f aca="false">IF(H5&gt;0,K5/H5,"")</f>
        <v>0</v>
      </c>
      <c r="M5" s="24" t="n">
        <f aca="false">IF($M$2&gt;0,1/$M$2,"")</f>
        <v>0.002</v>
      </c>
      <c r="N5" s="18" t="str">
        <f aca="false">IF(L5="","—",IF(L5&lt;=M5,"✔ OK","✘ EXCEDE"))</f>
        <v>✔ OK</v>
      </c>
    </row>
    <row r="6" customFormat="false" ht="15" hidden="false" customHeight="true" outlineLevel="0" collapsed="false">
      <c r="A6" s="6" t="s">
        <v>122</v>
      </c>
      <c r="B6" s="18" t="str">
        <f aca="false">ASENTAMIENTOS!A5</f>
        <v>1</v>
      </c>
      <c r="C6" s="18" t="str">
        <f aca="false">ASENTAMIENTOS!A10</f>
        <v>6</v>
      </c>
      <c r="D6" s="19" t="n">
        <f aca="false">COORDENADAS!B2</f>
        <v>-14600.9</v>
      </c>
      <c r="E6" s="19" t="n">
        <f aca="false">COORDENADAS!C2</f>
        <v>-9526.3</v>
      </c>
      <c r="F6" s="19" t="n">
        <f aca="false">COORDENADAS!B7</f>
        <v>-8250</v>
      </c>
      <c r="G6" s="19" t="n">
        <f aca="false">COORDENADAS!C7</f>
        <v>-9526.3</v>
      </c>
      <c r="H6" s="20" t="n">
        <f aca="false">SQRT((F6-D6)^2+(G6-E6)^2)</f>
        <v>6350.9</v>
      </c>
      <c r="I6" s="21" t="n">
        <f aca="false">ASENTAMIENTOS!E5</f>
        <v>0</v>
      </c>
      <c r="J6" s="21" t="n">
        <f aca="false">ASENTAMIENTOS!E10</f>
        <v>0</v>
      </c>
      <c r="K6" s="22" t="n">
        <f aca="false">ABS(I6-J6)</f>
        <v>0</v>
      </c>
      <c r="L6" s="23" t="n">
        <f aca="false">IF(H6&gt;0,K6/H6,"")</f>
        <v>0</v>
      </c>
      <c r="M6" s="24" t="n">
        <f aca="false">IF($M$2&gt;0,1/$M$2,"")</f>
        <v>0.002</v>
      </c>
      <c r="N6" s="18" t="str">
        <f aca="false">IF(L6="","—",IF(L6&lt;=M6,"✔ OK","✘ EXCEDE"))</f>
        <v>✔ OK</v>
      </c>
    </row>
    <row r="7" customFormat="false" ht="15" hidden="false" customHeight="true" outlineLevel="0" collapsed="false">
      <c r="A7" s="6" t="s">
        <v>123</v>
      </c>
      <c r="B7" s="18" t="str">
        <f aca="false">ASENTAMIENTOS!A5</f>
        <v>1</v>
      </c>
      <c r="C7" s="18" t="str">
        <f aca="false">ASENTAMIENTOS!A23</f>
        <v>19</v>
      </c>
      <c r="D7" s="19" t="n">
        <f aca="false">COORDENADAS!B2</f>
        <v>-14600.9</v>
      </c>
      <c r="E7" s="19" t="n">
        <f aca="false">COORDENADAS!C2</f>
        <v>-9526.3</v>
      </c>
      <c r="F7" s="19" t="n">
        <f aca="false">COORDENADAS!B20</f>
        <v>-13013.165</v>
      </c>
      <c r="G7" s="19" t="n">
        <f aca="false">COORDENADAS!C20</f>
        <v>-6776.2915</v>
      </c>
      <c r="H7" s="20" t="n">
        <f aca="false">SQRT((F7-D7)^2+(G7-E7)^2)</f>
        <v>3175.44472165668</v>
      </c>
      <c r="I7" s="21" t="n">
        <f aca="false">ASENTAMIENTOS!E5</f>
        <v>0</v>
      </c>
      <c r="J7" s="21" t="n">
        <f aca="false">ASENTAMIENTOS!E23</f>
        <v>0</v>
      </c>
      <c r="K7" s="22" t="n">
        <f aca="false">ABS(I7-J7)</f>
        <v>0</v>
      </c>
      <c r="L7" s="23" t="n">
        <f aca="false">IF(H7&gt;0,K7/H7,"")</f>
        <v>0</v>
      </c>
      <c r="M7" s="24" t="n">
        <f aca="false">IF($M$2&gt;0,1/$M$2,"")</f>
        <v>0.002</v>
      </c>
      <c r="N7" s="18" t="str">
        <f aca="false">IF(L7="","—",IF(L7&lt;=M7,"✔ OK","✘ EXCEDE"))</f>
        <v>✔ OK</v>
      </c>
    </row>
    <row r="8" customFormat="false" ht="15" hidden="false" customHeight="true" outlineLevel="0" collapsed="false">
      <c r="A8" s="6" t="s">
        <v>124</v>
      </c>
      <c r="B8" s="18" t="str">
        <f aca="false">ASENTAMIENTOS!A6</f>
        <v>2</v>
      </c>
      <c r="C8" s="18" t="str">
        <f aca="false">ASENTAMIENTOS!A15</f>
        <v>11</v>
      </c>
      <c r="D8" s="19" t="n">
        <f aca="false">COORDENADAS!B3</f>
        <v>14600.9</v>
      </c>
      <c r="E8" s="19" t="n">
        <f aca="false">COORDENADAS!C3</f>
        <v>-9526.3</v>
      </c>
      <c r="F8" s="19" t="n">
        <f aca="false">COORDENADAS!B12</f>
        <v>8250</v>
      </c>
      <c r="G8" s="19" t="n">
        <f aca="false">COORDENADAS!C12</f>
        <v>-9526.3</v>
      </c>
      <c r="H8" s="20" t="n">
        <f aca="false">SQRT((F8-D8)^2+(G8-E8)^2)</f>
        <v>6350.9</v>
      </c>
      <c r="I8" s="21" t="n">
        <f aca="false">ASENTAMIENTOS!E6</f>
        <v>0</v>
      </c>
      <c r="J8" s="21" t="n">
        <f aca="false">ASENTAMIENTOS!E15</f>
        <v>0</v>
      </c>
      <c r="K8" s="22" t="n">
        <f aca="false">ABS(I8-J8)</f>
        <v>0</v>
      </c>
      <c r="L8" s="23" t="n">
        <f aca="false">IF(H8&gt;0,K8/H8,"")</f>
        <v>0</v>
      </c>
      <c r="M8" s="24" t="n">
        <f aca="false">IF($M$2&gt;0,1/$M$2,"")</f>
        <v>0.002</v>
      </c>
      <c r="N8" s="18" t="str">
        <f aca="false">IF(L8="","—",IF(L8&lt;=M8,"✔ OK","✘ EXCEDE"))</f>
        <v>✔ OK</v>
      </c>
    </row>
    <row r="9" customFormat="false" ht="15" hidden="false" customHeight="true" outlineLevel="0" collapsed="false">
      <c r="A9" s="6" t="s">
        <v>125</v>
      </c>
      <c r="B9" s="18" t="str">
        <f aca="false">ASENTAMIENTOS!A6</f>
        <v>2</v>
      </c>
      <c r="C9" s="18" t="str">
        <f aca="false">ASENTAMIENTOS!A16</f>
        <v>12</v>
      </c>
      <c r="D9" s="19" t="n">
        <f aca="false">COORDENADAS!B3</f>
        <v>14600.9</v>
      </c>
      <c r="E9" s="19" t="n">
        <f aca="false">COORDENADAS!C3</f>
        <v>-9526.3</v>
      </c>
      <c r="F9" s="19" t="n">
        <f aca="false">COORDENADAS!B13</f>
        <v>17776.3</v>
      </c>
      <c r="G9" s="19" t="n">
        <f aca="false">COORDENADAS!C13</f>
        <v>-4026.3</v>
      </c>
      <c r="H9" s="20" t="n">
        <f aca="false">SQRT((F9-D9)^2+(G9-E9)^2)</f>
        <v>6350.83972085582</v>
      </c>
      <c r="I9" s="21" t="n">
        <f aca="false">ASENTAMIENTOS!E6</f>
        <v>0</v>
      </c>
      <c r="J9" s="21" t="n">
        <f aca="false">ASENTAMIENTOS!E16</f>
        <v>0</v>
      </c>
      <c r="K9" s="22" t="n">
        <f aca="false">ABS(I9-J9)</f>
        <v>0</v>
      </c>
      <c r="L9" s="23" t="n">
        <f aca="false">IF(H9&gt;0,K9/H9,"")</f>
        <v>0</v>
      </c>
      <c r="M9" s="24" t="n">
        <f aca="false">IF($M$2&gt;0,1/$M$2,"")</f>
        <v>0.002</v>
      </c>
      <c r="N9" s="18" t="str">
        <f aca="false">IF(L9="","—",IF(L9&lt;=M9,"✔ OK","✘ EXCEDE"))</f>
        <v>✔ OK</v>
      </c>
    </row>
    <row r="10" customFormat="false" ht="15" hidden="false" customHeight="true" outlineLevel="0" collapsed="false">
      <c r="A10" s="6" t="s">
        <v>126</v>
      </c>
      <c r="B10" s="18" t="str">
        <f aca="false">ASENTAMIENTOS!A6</f>
        <v>2</v>
      </c>
      <c r="C10" s="18" t="str">
        <f aca="false">ASENTAMIENTOS!A30</f>
        <v>26</v>
      </c>
      <c r="D10" s="19" t="n">
        <f aca="false">COORDENADAS!B3</f>
        <v>14600.9</v>
      </c>
      <c r="E10" s="19" t="n">
        <f aca="false">COORDENADAS!C3</f>
        <v>-9526.3</v>
      </c>
      <c r="F10" s="19" t="n">
        <f aca="false">COORDENADAS!B27</f>
        <v>13013.165</v>
      </c>
      <c r="G10" s="19" t="n">
        <f aca="false">COORDENADAS!C27</f>
        <v>-6776.2915</v>
      </c>
      <c r="H10" s="20" t="n">
        <f aca="false">SQRT((F10-D10)^2+(G10-E10)^2)</f>
        <v>3175.44472165668</v>
      </c>
      <c r="I10" s="21" t="n">
        <f aca="false">ASENTAMIENTOS!E6</f>
        <v>0</v>
      </c>
      <c r="J10" s="21" t="n">
        <f aca="false">ASENTAMIENTOS!E30</f>
        <v>0</v>
      </c>
      <c r="K10" s="22" t="n">
        <f aca="false">ABS(I10-J10)</f>
        <v>0</v>
      </c>
      <c r="L10" s="23" t="n">
        <f aca="false">IF(H10&gt;0,K10/H10,"")</f>
        <v>0</v>
      </c>
      <c r="M10" s="24" t="n">
        <f aca="false">IF($M$2&gt;0,1/$M$2,"")</f>
        <v>0.002</v>
      </c>
      <c r="N10" s="18" t="str">
        <f aca="false">IF(L10="","—",IF(L10&lt;=M10,"✔ OK","✘ EXCEDE"))</f>
        <v>✔ OK</v>
      </c>
    </row>
    <row r="11" customFormat="false" ht="15" hidden="false" customHeight="true" outlineLevel="0" collapsed="false">
      <c r="A11" s="6" t="s">
        <v>127</v>
      </c>
      <c r="B11" s="18" t="str">
        <f aca="false">ASENTAMIENTOS!A7</f>
        <v>3</v>
      </c>
      <c r="C11" s="18" t="str">
        <f aca="false">ASENTAMIENTOS!A8</f>
        <v>4</v>
      </c>
      <c r="D11" s="19" t="n">
        <f aca="false">COORDENADAS!B4</f>
        <v>-17776.3</v>
      </c>
      <c r="E11" s="19" t="n">
        <f aca="false">COORDENADAS!C4</f>
        <v>-4026.3</v>
      </c>
      <c r="F11" s="19" t="n">
        <f aca="false">COORDENADAS!B5</f>
        <v>-15026.3</v>
      </c>
      <c r="G11" s="19" t="n">
        <f aca="false">COORDENADAS!C5</f>
        <v>736.9</v>
      </c>
      <c r="H11" s="20" t="n">
        <f aca="false">SQRT((F11-D11)^2+(G11-E11)^2)</f>
        <v>5500.05220338862</v>
      </c>
      <c r="I11" s="21" t="n">
        <f aca="false">ASENTAMIENTOS!E7</f>
        <v>0</v>
      </c>
      <c r="J11" s="21" t="n">
        <f aca="false">ASENTAMIENTOS!E8</f>
        <v>0</v>
      </c>
      <c r="K11" s="22" t="n">
        <f aca="false">ABS(I11-J11)</f>
        <v>0</v>
      </c>
      <c r="L11" s="23" t="n">
        <f aca="false">IF(H11&gt;0,K11/H11,"")</f>
        <v>0</v>
      </c>
      <c r="M11" s="24" t="n">
        <f aca="false">IF($M$2&gt;0,1/$M$2,"")</f>
        <v>0.002</v>
      </c>
      <c r="N11" s="18" t="str">
        <f aca="false">IF(L11="","—",IF(L11&lt;=M11,"✔ OK","✘ EXCEDE"))</f>
        <v>✔ OK</v>
      </c>
    </row>
    <row r="12" customFormat="false" ht="15" hidden="false" customHeight="true" outlineLevel="0" collapsed="false">
      <c r="A12" s="6" t="s">
        <v>128</v>
      </c>
      <c r="B12" s="18" t="str">
        <f aca="false">ASENTAMIENTOS!A7</f>
        <v>3</v>
      </c>
      <c r="C12" s="18" t="str">
        <f aca="false">ASENTAMIENTOS!A23</f>
        <v>19</v>
      </c>
      <c r="D12" s="19" t="n">
        <f aca="false">COORDENADAS!B4</f>
        <v>-17776.3</v>
      </c>
      <c r="E12" s="19" t="n">
        <f aca="false">COORDENADAS!C4</f>
        <v>-4026.3</v>
      </c>
      <c r="F12" s="19" t="n">
        <f aca="false">COORDENADAS!B20</f>
        <v>-13013.165</v>
      </c>
      <c r="G12" s="19" t="n">
        <f aca="false">COORDENADAS!C20</f>
        <v>-6776.2915</v>
      </c>
      <c r="H12" s="20" t="n">
        <f aca="false">SQRT((F12-D12)^2+(G12-E12)^2)</f>
        <v>5499.99166165706</v>
      </c>
      <c r="I12" s="21" t="n">
        <f aca="false">ASENTAMIENTOS!E7</f>
        <v>0</v>
      </c>
      <c r="J12" s="21" t="n">
        <f aca="false">ASENTAMIENTOS!E23</f>
        <v>0</v>
      </c>
      <c r="K12" s="22" t="n">
        <f aca="false">ABS(I12-J12)</f>
        <v>0</v>
      </c>
      <c r="L12" s="23" t="n">
        <f aca="false">IF(H12&gt;0,K12/H12,"")</f>
        <v>0</v>
      </c>
      <c r="M12" s="24" t="n">
        <f aca="false">IF($M$2&gt;0,1/$M$2,"")</f>
        <v>0.002</v>
      </c>
      <c r="N12" s="18" t="str">
        <f aca="false">IF(L12="","—",IF(L12&lt;=M12,"✔ OK","✘ EXCEDE"))</f>
        <v>✔ OK</v>
      </c>
    </row>
    <row r="13" customFormat="false" ht="15" hidden="false" customHeight="true" outlineLevel="0" collapsed="false">
      <c r="A13" s="6" t="s">
        <v>129</v>
      </c>
      <c r="B13" s="18" t="str">
        <f aca="false">ASENTAMIENTOS!A8</f>
        <v>4</v>
      </c>
      <c r="C13" s="18" t="str">
        <f aca="false">ASENTAMIENTOS!A9</f>
        <v>5</v>
      </c>
      <c r="D13" s="19" t="n">
        <f aca="false">COORDENADAS!B5</f>
        <v>-15026.3</v>
      </c>
      <c r="E13" s="19" t="n">
        <f aca="false">COORDENADAS!C5</f>
        <v>736.9</v>
      </c>
      <c r="F13" s="19" t="n">
        <f aca="false">COORDENADAS!B6</f>
        <v>-12276.3</v>
      </c>
      <c r="G13" s="19" t="n">
        <f aca="false">COORDENADAS!C6</f>
        <v>5500</v>
      </c>
      <c r="H13" s="20" t="n">
        <f aca="false">SQRT((F13-D13)^2+(G13-E13)^2)</f>
        <v>5499.96560080152</v>
      </c>
      <c r="I13" s="21" t="n">
        <f aca="false">ASENTAMIENTOS!E8</f>
        <v>0</v>
      </c>
      <c r="J13" s="21" t="n">
        <f aca="false">ASENTAMIENTOS!E9</f>
        <v>0</v>
      </c>
      <c r="K13" s="22" t="n">
        <f aca="false">ABS(I13-J13)</f>
        <v>0</v>
      </c>
      <c r="L13" s="23" t="n">
        <f aca="false">IF(H13&gt;0,K13/H13,"")</f>
        <v>0</v>
      </c>
      <c r="M13" s="24" t="n">
        <f aca="false">IF($M$2&gt;0,1/$M$2,"")</f>
        <v>0.002</v>
      </c>
      <c r="N13" s="18" t="str">
        <f aca="false">IF(L13="","—",IF(L13&lt;=M13,"✔ OK","✘ EXCEDE"))</f>
        <v>✔ OK</v>
      </c>
    </row>
    <row r="14" customFormat="false" ht="15" hidden="false" customHeight="true" outlineLevel="0" collapsed="false">
      <c r="A14" s="6" t="s">
        <v>130</v>
      </c>
      <c r="B14" s="18" t="str">
        <f aca="false">ASENTAMIENTOS!A8</f>
        <v>4</v>
      </c>
      <c r="C14" s="18" t="str">
        <f aca="false">ASENTAMIENTOS!A24</f>
        <v>20</v>
      </c>
      <c r="D14" s="19" t="n">
        <f aca="false">COORDENADAS!B5</f>
        <v>-15026.3</v>
      </c>
      <c r="E14" s="19" t="n">
        <f aca="false">COORDENADAS!C5</f>
        <v>736.9</v>
      </c>
      <c r="F14" s="19" t="n">
        <f aca="false">COORDENADAS!B21</f>
        <v>-10263.117</v>
      </c>
      <c r="G14" s="19" t="n">
        <f aca="false">COORDENADAS!C21</f>
        <v>-2013.119</v>
      </c>
      <c r="H14" s="20" t="n">
        <f aca="false">SQRT((F14-D14)^2+(G14-E14)^2)</f>
        <v>5500.04698087662</v>
      </c>
      <c r="I14" s="21" t="n">
        <f aca="false">ASENTAMIENTOS!E8</f>
        <v>0</v>
      </c>
      <c r="J14" s="21" t="n">
        <f aca="false">ASENTAMIENTOS!E24</f>
        <v>0</v>
      </c>
      <c r="K14" s="22" t="n">
        <f aca="false">ABS(I14-J14)</f>
        <v>0</v>
      </c>
      <c r="L14" s="23" t="n">
        <f aca="false">IF(H14&gt;0,K14/H14,"")</f>
        <v>0</v>
      </c>
      <c r="M14" s="24" t="n">
        <f aca="false">IF($M$2&gt;0,1/$M$2,"")</f>
        <v>0.002</v>
      </c>
      <c r="N14" s="18" t="str">
        <f aca="false">IF(L14="","—",IF(L14&lt;=M14,"✔ OK","✘ EXCEDE"))</f>
        <v>✔ OK</v>
      </c>
    </row>
    <row r="15" customFormat="false" ht="15" hidden="false" customHeight="true" outlineLevel="0" collapsed="false">
      <c r="A15" s="6" t="s">
        <v>131</v>
      </c>
      <c r="B15" s="18" t="str">
        <f aca="false">ASENTAMIENTOS!A9</f>
        <v>5</v>
      </c>
      <c r="C15" s="18" t="str">
        <f aca="false">ASENTAMIENTOS!A21</f>
        <v>17</v>
      </c>
      <c r="D15" s="19" t="n">
        <f aca="false">COORDENADAS!B6</f>
        <v>-12276.3</v>
      </c>
      <c r="E15" s="19" t="n">
        <f aca="false">COORDENADAS!C6</f>
        <v>5500</v>
      </c>
      <c r="F15" s="19" t="n">
        <f aca="false">COORDENADAS!B18</f>
        <v>-7513.1</v>
      </c>
      <c r="G15" s="19" t="n">
        <f aca="false">COORDENADAS!C18</f>
        <v>8250</v>
      </c>
      <c r="H15" s="20" t="n">
        <f aca="false">SQRT((F15-D15)^2+(G15-E15)^2)</f>
        <v>5500.05220338862</v>
      </c>
      <c r="I15" s="21" t="n">
        <f aca="false">ASENTAMIENTOS!E9</f>
        <v>0</v>
      </c>
      <c r="J15" s="21" t="n">
        <f aca="false">ASENTAMIENTOS!E21</f>
        <v>0</v>
      </c>
      <c r="K15" s="22" t="n">
        <f aca="false">ABS(I15-J15)</f>
        <v>0</v>
      </c>
      <c r="L15" s="23" t="n">
        <f aca="false">IF(H15&gt;0,K15/H15,"")</f>
        <v>0</v>
      </c>
      <c r="M15" s="24" t="n">
        <f aca="false">IF($M$2&gt;0,1/$M$2,"")</f>
        <v>0.002</v>
      </c>
      <c r="N15" s="18" t="str">
        <f aca="false">IF(L15="","—",IF(L15&lt;=M15,"✔ OK","✘ EXCEDE"))</f>
        <v>✔ OK</v>
      </c>
    </row>
    <row r="16" customFormat="false" ht="15" hidden="false" customHeight="true" outlineLevel="0" collapsed="false">
      <c r="A16" s="6" t="s">
        <v>132</v>
      </c>
      <c r="B16" s="18" t="str">
        <f aca="false">ASENTAMIENTOS!A9</f>
        <v>5</v>
      </c>
      <c r="C16" s="18" t="str">
        <f aca="false">ASENTAMIENTOS!A25</f>
        <v>21</v>
      </c>
      <c r="D16" s="19" t="n">
        <f aca="false">COORDENADAS!B6</f>
        <v>-12276.3</v>
      </c>
      <c r="E16" s="19" t="n">
        <f aca="false">COORDENADAS!C6</f>
        <v>5500</v>
      </c>
      <c r="F16" s="19" t="n">
        <f aca="false">COORDENADAS!B22</f>
        <v>-7513.1</v>
      </c>
      <c r="G16" s="19" t="n">
        <f aca="false">COORDENADAS!C22</f>
        <v>2750</v>
      </c>
      <c r="H16" s="20" t="n">
        <f aca="false">SQRT((F16-D16)^2+(G16-E16)^2)</f>
        <v>5500.05220338862</v>
      </c>
      <c r="I16" s="21" t="n">
        <f aca="false">ASENTAMIENTOS!E9</f>
        <v>0</v>
      </c>
      <c r="J16" s="21" t="n">
        <f aca="false">ASENTAMIENTOS!E25</f>
        <v>0</v>
      </c>
      <c r="K16" s="22" t="n">
        <f aca="false">ABS(I16-J16)</f>
        <v>0</v>
      </c>
      <c r="L16" s="23" t="n">
        <f aca="false">IF(H16&gt;0,K16/H16,"")</f>
        <v>0</v>
      </c>
      <c r="M16" s="24" t="n">
        <f aca="false">IF($M$2&gt;0,1/$M$2,"")</f>
        <v>0.002</v>
      </c>
      <c r="N16" s="18" t="str">
        <f aca="false">IF(L16="","—",IF(L16&lt;=M16,"✔ OK","✘ EXCEDE"))</f>
        <v>✔ OK</v>
      </c>
    </row>
    <row r="17" customFormat="false" ht="15" hidden="false" customHeight="true" outlineLevel="0" collapsed="false">
      <c r="A17" s="6" t="s">
        <v>133</v>
      </c>
      <c r="B17" s="18" t="str">
        <f aca="false">ASENTAMIENTOS!A10</f>
        <v>6</v>
      </c>
      <c r="C17" s="18" t="str">
        <f aca="false">ASENTAMIENTOS!A11</f>
        <v>7</v>
      </c>
      <c r="D17" s="19" t="n">
        <f aca="false">COORDENADAS!B7</f>
        <v>-8250</v>
      </c>
      <c r="E17" s="19" t="n">
        <f aca="false">COORDENADAS!C7</f>
        <v>-9526.3</v>
      </c>
      <c r="F17" s="19" t="n">
        <f aca="false">COORDENADAS!B8</f>
        <v>-5500</v>
      </c>
      <c r="G17" s="19" t="n">
        <f aca="false">COORDENADAS!C8</f>
        <v>-4763.1</v>
      </c>
      <c r="H17" s="20" t="n">
        <f aca="false">SQRT((F17-D17)^2+(G17-E17)^2)</f>
        <v>5500.05220338862</v>
      </c>
      <c r="I17" s="21" t="n">
        <f aca="false">ASENTAMIENTOS!E10</f>
        <v>0</v>
      </c>
      <c r="J17" s="21" t="n">
        <f aca="false">ASENTAMIENTOS!E11</f>
        <v>0</v>
      </c>
      <c r="K17" s="22" t="n">
        <f aca="false">ABS(I17-J17)</f>
        <v>0</v>
      </c>
      <c r="L17" s="23" t="n">
        <f aca="false">IF(H17&gt;0,K17/H17,"")</f>
        <v>0</v>
      </c>
      <c r="M17" s="24" t="n">
        <f aca="false">IF($M$2&gt;0,1/$M$2,"")</f>
        <v>0.002</v>
      </c>
      <c r="N17" s="18" t="str">
        <f aca="false">IF(L17="","—",IF(L17&lt;=M17,"✔ OK","✘ EXCEDE"))</f>
        <v>✔ OK</v>
      </c>
    </row>
    <row r="18" customFormat="false" ht="15" hidden="false" customHeight="true" outlineLevel="0" collapsed="false">
      <c r="A18" s="6" t="s">
        <v>134</v>
      </c>
      <c r="B18" s="18" t="str">
        <f aca="false">ASENTAMIENTOS!A10</f>
        <v>6</v>
      </c>
      <c r="C18" s="18" t="str">
        <f aca="false">ASENTAMIENTOS!A23</f>
        <v>19</v>
      </c>
      <c r="D18" s="19" t="n">
        <f aca="false">COORDENADAS!B7</f>
        <v>-8250</v>
      </c>
      <c r="E18" s="19" t="n">
        <f aca="false">COORDENADAS!C7</f>
        <v>-9526.3</v>
      </c>
      <c r="F18" s="19" t="n">
        <f aca="false">COORDENADAS!B20</f>
        <v>-13013.165</v>
      </c>
      <c r="G18" s="19" t="n">
        <f aca="false">COORDENADAS!C20</f>
        <v>-6776.2915</v>
      </c>
      <c r="H18" s="20" t="n">
        <f aca="false">SQRT((F18-D18)^2+(G18-E18)^2)</f>
        <v>5500.02614241944</v>
      </c>
      <c r="I18" s="21" t="n">
        <f aca="false">ASENTAMIENTOS!E10</f>
        <v>0</v>
      </c>
      <c r="J18" s="21" t="n">
        <f aca="false">ASENTAMIENTOS!E23</f>
        <v>0</v>
      </c>
      <c r="K18" s="22" t="n">
        <f aca="false">ABS(I18-J18)</f>
        <v>0</v>
      </c>
      <c r="L18" s="23" t="n">
        <f aca="false">IF(H18&gt;0,K18/H18,"")</f>
        <v>0</v>
      </c>
      <c r="M18" s="24" t="n">
        <f aca="false">IF($M$2&gt;0,1/$M$2,"")</f>
        <v>0.002</v>
      </c>
      <c r="N18" s="18" t="str">
        <f aca="false">IF(L18="","—",IF(L18&lt;=M18,"✔ OK","✘ EXCEDE"))</f>
        <v>✔ OK</v>
      </c>
    </row>
    <row r="19" customFormat="false" ht="15" hidden="false" customHeight="true" outlineLevel="0" collapsed="false">
      <c r="A19" s="6" t="s">
        <v>135</v>
      </c>
      <c r="B19" s="18" t="str">
        <f aca="false">ASENTAMIENTOS!A10</f>
        <v>6</v>
      </c>
      <c r="C19" s="18" t="str">
        <f aca="false">ASENTAMIENTOS!A77</f>
        <v>82</v>
      </c>
      <c r="D19" s="19" t="n">
        <f aca="false">COORDENADAS!B7</f>
        <v>-8250</v>
      </c>
      <c r="E19" s="19" t="n">
        <f aca="false">COORDENADAS!C7</f>
        <v>-9526.3</v>
      </c>
      <c r="F19" s="19" t="n">
        <f aca="false">COORDENADAS!B29</f>
        <v>-2750</v>
      </c>
      <c r="G19" s="19" t="n">
        <f aca="false">COORDENADAS!C29</f>
        <v>-9526.3</v>
      </c>
      <c r="H19" s="20" t="n">
        <f aca="false">SQRT((F19-D19)^2+(G19-E19)^2)</f>
        <v>5500</v>
      </c>
      <c r="I19" s="21" t="n">
        <f aca="false">ASENTAMIENTOS!E10</f>
        <v>0</v>
      </c>
      <c r="J19" s="21" t="n">
        <f aca="false">ASENTAMIENTOS!E77</f>
        <v>0</v>
      </c>
      <c r="K19" s="22" t="n">
        <f aca="false">ABS(I19-J19)</f>
        <v>0</v>
      </c>
      <c r="L19" s="23" t="n">
        <f aca="false">IF(H19&gt;0,K19/H19,"")</f>
        <v>0</v>
      </c>
      <c r="M19" s="24" t="n">
        <f aca="false">IF($M$2&gt;0,1/$M$2,"")</f>
        <v>0.002</v>
      </c>
      <c r="N19" s="18" t="str">
        <f aca="false">IF(L19="","—",IF(L19&lt;=M19,"✔ OK","✘ EXCEDE"))</f>
        <v>✔ OK</v>
      </c>
    </row>
    <row r="20" customFormat="false" ht="15" hidden="false" customHeight="true" outlineLevel="0" collapsed="false">
      <c r="A20" s="6" t="s">
        <v>136</v>
      </c>
      <c r="B20" s="18" t="str">
        <f aca="false">ASENTAMIENTOS!A11</f>
        <v>7</v>
      </c>
      <c r="C20" s="18" t="str">
        <f aca="false">ASENTAMIENTOS!A12</f>
        <v>8</v>
      </c>
      <c r="D20" s="19" t="n">
        <f aca="false">COORDENADAS!B8</f>
        <v>-5500</v>
      </c>
      <c r="E20" s="19" t="n">
        <f aca="false">COORDENADAS!C8</f>
        <v>-4763.1</v>
      </c>
      <c r="F20" s="19" t="n">
        <f aca="false">COORDENADAS!B9</f>
        <v>-2750</v>
      </c>
      <c r="G20" s="19" t="n">
        <f aca="false">COORDENADAS!C9</f>
        <v>0</v>
      </c>
      <c r="H20" s="20" t="n">
        <f aca="false">SQRT((F20-D20)^2+(G20-E20)^2)</f>
        <v>5499.96560080152</v>
      </c>
      <c r="I20" s="21" t="n">
        <f aca="false">ASENTAMIENTOS!E11</f>
        <v>0</v>
      </c>
      <c r="J20" s="21" t="n">
        <f aca="false">ASENTAMIENTOS!E12</f>
        <v>0</v>
      </c>
      <c r="K20" s="22" t="n">
        <f aca="false">ABS(I20-J20)</f>
        <v>0</v>
      </c>
      <c r="L20" s="23" t="n">
        <f aca="false">IF(H20&gt;0,K20/H20,"")</f>
        <v>0</v>
      </c>
      <c r="M20" s="24" t="n">
        <f aca="false">IF($M$2&gt;0,1/$M$2,"")</f>
        <v>0.002</v>
      </c>
      <c r="N20" s="18" t="str">
        <f aca="false">IF(L20="","—",IF(L20&lt;=M20,"✔ OK","✘ EXCEDE"))</f>
        <v>✔ OK</v>
      </c>
    </row>
    <row r="21" customFormat="false" ht="15" hidden="false" customHeight="true" outlineLevel="0" collapsed="false">
      <c r="A21" s="6" t="s">
        <v>137</v>
      </c>
      <c r="B21" s="18" t="str">
        <f aca="false">ASENTAMIENTOS!A11</f>
        <v>7</v>
      </c>
      <c r="C21" s="18" t="str">
        <f aca="false">ASENTAMIENTOS!A24</f>
        <v>20</v>
      </c>
      <c r="D21" s="19" t="n">
        <f aca="false">COORDENADAS!B8</f>
        <v>-5500</v>
      </c>
      <c r="E21" s="19" t="n">
        <f aca="false">COORDENADAS!C8</f>
        <v>-4763.1</v>
      </c>
      <c r="F21" s="19" t="n">
        <f aca="false">COORDENADAS!B21</f>
        <v>-10263.117</v>
      </c>
      <c r="G21" s="19" t="n">
        <f aca="false">COORDENADAS!C21</f>
        <v>-2013.119</v>
      </c>
      <c r="H21" s="20" t="n">
        <f aca="false">SQRT((F21-D21)^2+(G21-E21)^2)</f>
        <v>5499.97082319988</v>
      </c>
      <c r="I21" s="21" t="n">
        <f aca="false">ASENTAMIENTOS!E11</f>
        <v>0</v>
      </c>
      <c r="J21" s="21" t="n">
        <f aca="false">ASENTAMIENTOS!E24</f>
        <v>0</v>
      </c>
      <c r="K21" s="22" t="n">
        <f aca="false">ABS(I21-J21)</f>
        <v>0</v>
      </c>
      <c r="L21" s="23" t="n">
        <f aca="false">IF(H21&gt;0,K21/H21,"")</f>
        <v>0</v>
      </c>
      <c r="M21" s="24" t="n">
        <f aca="false">IF($M$2&gt;0,1/$M$2,"")</f>
        <v>0.002</v>
      </c>
      <c r="N21" s="18" t="str">
        <f aca="false">IF(L21="","—",IF(L21&lt;=M21,"✔ OK","✘ EXCEDE"))</f>
        <v>✔ OK</v>
      </c>
    </row>
    <row r="22" customFormat="false" ht="15" hidden="false" customHeight="true" outlineLevel="0" collapsed="false">
      <c r="A22" s="6" t="s">
        <v>138</v>
      </c>
      <c r="B22" s="18" t="str">
        <f aca="false">ASENTAMIENTOS!A11</f>
        <v>7</v>
      </c>
      <c r="C22" s="18" t="str">
        <f aca="false">ASENTAMIENTOS!A31</f>
        <v>27</v>
      </c>
      <c r="D22" s="19" t="n">
        <f aca="false">COORDENADAS!B8</f>
        <v>-5500</v>
      </c>
      <c r="E22" s="19" t="n">
        <f aca="false">COORDENADAS!C8</f>
        <v>-4763.1</v>
      </c>
      <c r="F22" s="19" t="n">
        <f aca="false">COORDENADAS!B28</f>
        <v>0</v>
      </c>
      <c r="G22" s="19" t="n">
        <f aca="false">COORDENADAS!C28</f>
        <v>-4763.1</v>
      </c>
      <c r="H22" s="20" t="n">
        <f aca="false">SQRT((F22-D22)^2+(G22-E22)^2)</f>
        <v>5500</v>
      </c>
      <c r="I22" s="21" t="n">
        <f aca="false">ASENTAMIENTOS!E11</f>
        <v>0</v>
      </c>
      <c r="J22" s="21" t="n">
        <f aca="false">ASENTAMIENTOS!E31</f>
        <v>0</v>
      </c>
      <c r="K22" s="22" t="n">
        <f aca="false">ABS(I22-J22)</f>
        <v>0</v>
      </c>
      <c r="L22" s="23" t="n">
        <f aca="false">IF(H22&gt;0,K22/H22,"")</f>
        <v>0</v>
      </c>
      <c r="M22" s="24" t="n">
        <f aca="false">IF($M$2&gt;0,1/$M$2,"")</f>
        <v>0.002</v>
      </c>
      <c r="N22" s="18" t="str">
        <f aca="false">IF(L22="","—",IF(L22&lt;=M22,"✔ OK","✘ EXCEDE"))</f>
        <v>✔ OK</v>
      </c>
    </row>
    <row r="23" customFormat="false" ht="15" hidden="false" customHeight="true" outlineLevel="0" collapsed="false">
      <c r="A23" s="6" t="s">
        <v>139</v>
      </c>
      <c r="B23" s="18" t="str">
        <f aca="false">ASENTAMIENTOS!A11</f>
        <v>7</v>
      </c>
      <c r="C23" s="18" t="str">
        <f aca="false">ASENTAMIENTOS!A77</f>
        <v>82</v>
      </c>
      <c r="D23" s="19" t="n">
        <f aca="false">COORDENADAS!B8</f>
        <v>-5500</v>
      </c>
      <c r="E23" s="19" t="n">
        <f aca="false">COORDENADAS!C8</f>
        <v>-4763.1</v>
      </c>
      <c r="F23" s="19" t="n">
        <f aca="false">COORDENADAS!B29</f>
        <v>-2750</v>
      </c>
      <c r="G23" s="19" t="n">
        <f aca="false">COORDENADAS!C29</f>
        <v>-9526.3</v>
      </c>
      <c r="H23" s="20" t="n">
        <f aca="false">SQRT((F23-D23)^2+(G23-E23)^2)</f>
        <v>5500.05220338862</v>
      </c>
      <c r="I23" s="21" t="n">
        <f aca="false">ASENTAMIENTOS!E11</f>
        <v>0</v>
      </c>
      <c r="J23" s="21" t="n">
        <f aca="false">ASENTAMIENTOS!E77</f>
        <v>0</v>
      </c>
      <c r="K23" s="22" t="n">
        <f aca="false">ABS(I23-J23)</f>
        <v>0</v>
      </c>
      <c r="L23" s="23" t="n">
        <f aca="false">IF(H23&gt;0,K23/H23,"")</f>
        <v>0</v>
      </c>
      <c r="M23" s="24" t="n">
        <f aca="false">IF($M$2&gt;0,1/$M$2,"")</f>
        <v>0.002</v>
      </c>
      <c r="N23" s="18" t="str">
        <f aca="false">IF(L23="","—",IF(L23&lt;=M23,"✔ OK","✘ EXCEDE"))</f>
        <v>✔ OK</v>
      </c>
    </row>
    <row r="24" customFormat="false" ht="15" hidden="false" customHeight="true" outlineLevel="0" collapsed="false">
      <c r="A24" s="6" t="s">
        <v>140</v>
      </c>
      <c r="B24" s="18" t="str">
        <f aca="false">ASENTAMIENTOS!A12</f>
        <v>8</v>
      </c>
      <c r="C24" s="18" t="str">
        <f aca="false">ASENTAMIENTOS!A13</f>
        <v>9</v>
      </c>
      <c r="D24" s="19" t="n">
        <f aca="false">COORDENADAS!B9</f>
        <v>-2750</v>
      </c>
      <c r="E24" s="19" t="n">
        <f aca="false">COORDENADAS!C9</f>
        <v>0</v>
      </c>
      <c r="F24" s="19" t="n">
        <f aca="false">COORDENADAS!B10</f>
        <v>2750</v>
      </c>
      <c r="G24" s="19" t="n">
        <f aca="false">COORDENADAS!C10</f>
        <v>0</v>
      </c>
      <c r="H24" s="20" t="n">
        <f aca="false">SQRT((F24-D24)^2+(G24-E24)^2)</f>
        <v>5500</v>
      </c>
      <c r="I24" s="21" t="n">
        <f aca="false">ASENTAMIENTOS!E12</f>
        <v>0</v>
      </c>
      <c r="J24" s="21" t="n">
        <f aca="false">ASENTAMIENTOS!E13</f>
        <v>0</v>
      </c>
      <c r="K24" s="22" t="n">
        <f aca="false">ABS(I24-J24)</f>
        <v>0</v>
      </c>
      <c r="L24" s="23" t="n">
        <f aca="false">IF(H24&gt;0,K24/H24,"")</f>
        <v>0</v>
      </c>
      <c r="M24" s="24" t="n">
        <f aca="false">IF($M$2&gt;0,1/$M$2,"")</f>
        <v>0.002</v>
      </c>
      <c r="N24" s="18" t="str">
        <f aca="false">IF(L24="","—",IF(L24&lt;=M24,"✔ OK","✘ EXCEDE"))</f>
        <v>✔ OK</v>
      </c>
    </row>
    <row r="25" customFormat="false" ht="15" hidden="false" customHeight="true" outlineLevel="0" collapsed="false">
      <c r="A25" s="6" t="s">
        <v>141</v>
      </c>
      <c r="B25" s="18" t="str">
        <f aca="false">ASENTAMIENTOS!A12</f>
        <v>8</v>
      </c>
      <c r="C25" s="18" t="str">
        <f aca="false">ASENTAMIENTOS!A25</f>
        <v>21</v>
      </c>
      <c r="D25" s="19" t="n">
        <f aca="false">COORDENADAS!B9</f>
        <v>-2750</v>
      </c>
      <c r="E25" s="19" t="n">
        <f aca="false">COORDENADAS!C9</f>
        <v>0</v>
      </c>
      <c r="F25" s="19" t="n">
        <f aca="false">COORDENADAS!B22</f>
        <v>-7513.1</v>
      </c>
      <c r="G25" s="19" t="n">
        <f aca="false">COORDENADAS!C22</f>
        <v>2750</v>
      </c>
      <c r="H25" s="20" t="n">
        <f aca="false">SQRT((F25-D25)^2+(G25-E25)^2)</f>
        <v>5499.96560080152</v>
      </c>
      <c r="I25" s="21" t="n">
        <f aca="false">ASENTAMIENTOS!E12</f>
        <v>0</v>
      </c>
      <c r="J25" s="21" t="n">
        <f aca="false">ASENTAMIENTOS!E25</f>
        <v>0</v>
      </c>
      <c r="K25" s="22" t="n">
        <f aca="false">ABS(I25-J25)</f>
        <v>0</v>
      </c>
      <c r="L25" s="23" t="n">
        <f aca="false">IF(H25&gt;0,K25/H25,"")</f>
        <v>0</v>
      </c>
      <c r="M25" s="24" t="n">
        <f aca="false">IF($M$2&gt;0,1/$M$2,"")</f>
        <v>0.002</v>
      </c>
      <c r="N25" s="18" t="str">
        <f aca="false">IF(L25="","—",IF(L25&lt;=M25,"✔ OK","✘ EXCEDE"))</f>
        <v>✔ OK</v>
      </c>
    </row>
    <row r="26" customFormat="false" ht="15" hidden="false" customHeight="true" outlineLevel="0" collapsed="false">
      <c r="A26" s="6" t="s">
        <v>142</v>
      </c>
      <c r="B26" s="18" t="str">
        <f aca="false">ASENTAMIENTOS!A12</f>
        <v>8</v>
      </c>
      <c r="C26" s="18" t="str">
        <f aca="false">ASENTAMIENTOS!A26</f>
        <v>22</v>
      </c>
      <c r="D26" s="19" t="n">
        <f aca="false">COORDENADAS!B9</f>
        <v>-2750</v>
      </c>
      <c r="E26" s="19" t="n">
        <f aca="false">COORDENADAS!C9</f>
        <v>0</v>
      </c>
      <c r="F26" s="19" t="n">
        <f aca="false">COORDENADAS!B23</f>
        <v>-2750</v>
      </c>
      <c r="G26" s="19" t="n">
        <f aca="false">COORDENADAS!C23</f>
        <v>5500</v>
      </c>
      <c r="H26" s="20" t="n">
        <f aca="false">SQRT((F26-D26)^2+(G26-E26)^2)</f>
        <v>5500</v>
      </c>
      <c r="I26" s="21" t="n">
        <f aca="false">ASENTAMIENTOS!E12</f>
        <v>0</v>
      </c>
      <c r="J26" s="21" t="n">
        <f aca="false">ASENTAMIENTOS!E26</f>
        <v>0</v>
      </c>
      <c r="K26" s="22" t="n">
        <f aca="false">ABS(I26-J26)</f>
        <v>0</v>
      </c>
      <c r="L26" s="23" t="n">
        <f aca="false">IF(H26&gt;0,K26/H26,"")</f>
        <v>0</v>
      </c>
      <c r="M26" s="24" t="n">
        <f aca="false">IF($M$2&gt;0,1/$M$2,"")</f>
        <v>0.002</v>
      </c>
      <c r="N26" s="18" t="str">
        <f aca="false">IF(L26="","—",IF(L26&lt;=M26,"✔ OK","✘ EXCEDE"))</f>
        <v>✔ OK</v>
      </c>
    </row>
    <row r="27" customFormat="false" ht="15" hidden="false" customHeight="true" outlineLevel="0" collapsed="false">
      <c r="A27" s="6" t="s">
        <v>143</v>
      </c>
      <c r="B27" s="18" t="str">
        <f aca="false">ASENTAMIENTOS!A12</f>
        <v>8</v>
      </c>
      <c r="C27" s="18" t="str">
        <f aca="false">ASENTAMIENTOS!A31</f>
        <v>27</v>
      </c>
      <c r="D27" s="19" t="n">
        <f aca="false">COORDENADAS!B9</f>
        <v>-2750</v>
      </c>
      <c r="E27" s="19" t="n">
        <f aca="false">COORDENADAS!C9</f>
        <v>0</v>
      </c>
      <c r="F27" s="19" t="n">
        <f aca="false">COORDENADAS!B28</f>
        <v>0</v>
      </c>
      <c r="G27" s="19" t="n">
        <f aca="false">COORDENADAS!C28</f>
        <v>-4763.1</v>
      </c>
      <c r="H27" s="20" t="n">
        <f aca="false">SQRT((F27-D27)^2+(G27-E27)^2)</f>
        <v>5499.96560080152</v>
      </c>
      <c r="I27" s="21" t="n">
        <f aca="false">ASENTAMIENTOS!E12</f>
        <v>0</v>
      </c>
      <c r="J27" s="21" t="n">
        <f aca="false">ASENTAMIENTOS!E31</f>
        <v>0</v>
      </c>
      <c r="K27" s="22" t="n">
        <f aca="false">ABS(I27-J27)</f>
        <v>0</v>
      </c>
      <c r="L27" s="23" t="n">
        <f aca="false">IF(H27&gt;0,K27/H27,"")</f>
        <v>0</v>
      </c>
      <c r="M27" s="24" t="n">
        <f aca="false">IF($M$2&gt;0,1/$M$2,"")</f>
        <v>0.002</v>
      </c>
      <c r="N27" s="18" t="str">
        <f aca="false">IF(L27="","—",IF(L27&lt;=M27,"✔ OK","✘ EXCEDE"))</f>
        <v>✔ OK</v>
      </c>
    </row>
    <row r="28" customFormat="false" ht="15" hidden="false" customHeight="true" outlineLevel="0" collapsed="false">
      <c r="A28" s="6" t="s">
        <v>144</v>
      </c>
      <c r="B28" s="18" t="str">
        <f aca="false">ASENTAMIENTOS!A13</f>
        <v>9</v>
      </c>
      <c r="C28" s="18" t="str">
        <f aca="false">ASENTAMIENTOS!A14</f>
        <v>10</v>
      </c>
      <c r="D28" s="19" t="n">
        <f aca="false">COORDENADAS!B10</f>
        <v>2750</v>
      </c>
      <c r="E28" s="19" t="n">
        <f aca="false">COORDENADAS!C10</f>
        <v>0</v>
      </c>
      <c r="F28" s="19" t="n">
        <f aca="false">COORDENADAS!B11</f>
        <v>5500</v>
      </c>
      <c r="G28" s="19" t="n">
        <f aca="false">COORDENADAS!C11</f>
        <v>-4763.1</v>
      </c>
      <c r="H28" s="20" t="n">
        <f aca="false">SQRT((F28-D28)^2+(G28-E28)^2)</f>
        <v>5499.96560080152</v>
      </c>
      <c r="I28" s="21" t="n">
        <f aca="false">ASENTAMIENTOS!E13</f>
        <v>0</v>
      </c>
      <c r="J28" s="21" t="n">
        <f aca="false">ASENTAMIENTOS!E14</f>
        <v>0</v>
      </c>
      <c r="K28" s="22" t="n">
        <f aca="false">ABS(I28-J28)</f>
        <v>0</v>
      </c>
      <c r="L28" s="23" t="n">
        <f aca="false">IF(H28&gt;0,K28/H28,"")</f>
        <v>0</v>
      </c>
      <c r="M28" s="24" t="n">
        <f aca="false">IF($M$2&gt;0,1/$M$2,"")</f>
        <v>0.002</v>
      </c>
      <c r="N28" s="18" t="str">
        <f aca="false">IF(L28="","—",IF(L28&lt;=M28,"✔ OK","✘ EXCEDE"))</f>
        <v>✔ OK</v>
      </c>
    </row>
    <row r="29" customFormat="false" ht="15" hidden="false" customHeight="true" outlineLevel="0" collapsed="false">
      <c r="A29" s="6" t="s">
        <v>145</v>
      </c>
      <c r="B29" s="18" t="str">
        <f aca="false">ASENTAMIENTOS!A13</f>
        <v>9</v>
      </c>
      <c r="C29" s="18" t="str">
        <f aca="false">ASENTAMIENTOS!A27</f>
        <v>23</v>
      </c>
      <c r="D29" s="19" t="n">
        <f aca="false">COORDENADAS!B10</f>
        <v>2750</v>
      </c>
      <c r="E29" s="19" t="n">
        <f aca="false">COORDENADAS!C10</f>
        <v>0</v>
      </c>
      <c r="F29" s="19" t="n">
        <f aca="false">COORDENADAS!B24</f>
        <v>2750</v>
      </c>
      <c r="G29" s="19" t="n">
        <f aca="false">COORDENADAS!C24</f>
        <v>5500</v>
      </c>
      <c r="H29" s="20" t="n">
        <f aca="false">SQRT((F29-D29)^2+(G29-E29)^2)</f>
        <v>5500</v>
      </c>
      <c r="I29" s="21" t="n">
        <f aca="false">ASENTAMIENTOS!E13</f>
        <v>0</v>
      </c>
      <c r="J29" s="21" t="n">
        <f aca="false">ASENTAMIENTOS!E27</f>
        <v>0</v>
      </c>
      <c r="K29" s="22" t="n">
        <f aca="false">ABS(I29-J29)</f>
        <v>0</v>
      </c>
      <c r="L29" s="23" t="n">
        <f aca="false">IF(H29&gt;0,K29/H29,"")</f>
        <v>0</v>
      </c>
      <c r="M29" s="24" t="n">
        <f aca="false">IF($M$2&gt;0,1/$M$2,"")</f>
        <v>0.002</v>
      </c>
      <c r="N29" s="18" t="str">
        <f aca="false">IF(L29="","—",IF(L29&lt;=M29,"✔ OK","✘ EXCEDE"))</f>
        <v>✔ OK</v>
      </c>
    </row>
    <row r="30" customFormat="false" ht="15" hidden="false" customHeight="true" outlineLevel="0" collapsed="false">
      <c r="A30" s="6" t="s">
        <v>146</v>
      </c>
      <c r="B30" s="18" t="str">
        <f aca="false">ASENTAMIENTOS!A13</f>
        <v>9</v>
      </c>
      <c r="C30" s="18" t="str">
        <f aca="false">ASENTAMIENTOS!A28</f>
        <v>24</v>
      </c>
      <c r="D30" s="19" t="n">
        <f aca="false">COORDENADAS!B10</f>
        <v>2750</v>
      </c>
      <c r="E30" s="19" t="n">
        <f aca="false">COORDENADAS!C10</f>
        <v>0</v>
      </c>
      <c r="F30" s="19" t="n">
        <f aca="false">COORDENADAS!B25</f>
        <v>7513.1</v>
      </c>
      <c r="G30" s="19" t="n">
        <f aca="false">COORDENADAS!C25</f>
        <v>2750</v>
      </c>
      <c r="H30" s="20" t="n">
        <f aca="false">SQRT((F30-D30)^2+(G30-E30)^2)</f>
        <v>5499.96560080152</v>
      </c>
      <c r="I30" s="21" t="n">
        <f aca="false">ASENTAMIENTOS!E13</f>
        <v>0</v>
      </c>
      <c r="J30" s="21" t="n">
        <f aca="false">ASENTAMIENTOS!E28</f>
        <v>0</v>
      </c>
      <c r="K30" s="22" t="n">
        <f aca="false">ABS(I30-J30)</f>
        <v>0</v>
      </c>
      <c r="L30" s="23" t="n">
        <f aca="false">IF(H30&gt;0,K30/H30,"")</f>
        <v>0</v>
      </c>
      <c r="M30" s="24" t="n">
        <f aca="false">IF($M$2&gt;0,1/$M$2,"")</f>
        <v>0.002</v>
      </c>
      <c r="N30" s="18" t="str">
        <f aca="false">IF(L30="","—",IF(L30&lt;=M30,"✔ OK","✘ EXCEDE"))</f>
        <v>✔ OK</v>
      </c>
    </row>
    <row r="31" customFormat="false" ht="15" hidden="false" customHeight="true" outlineLevel="0" collapsed="false">
      <c r="A31" s="6" t="s">
        <v>147</v>
      </c>
      <c r="B31" s="18" t="str">
        <f aca="false">ASENTAMIENTOS!A13</f>
        <v>9</v>
      </c>
      <c r="C31" s="18" t="str">
        <f aca="false">ASENTAMIENTOS!A31</f>
        <v>27</v>
      </c>
      <c r="D31" s="19" t="n">
        <f aca="false">COORDENADAS!B10</f>
        <v>2750</v>
      </c>
      <c r="E31" s="19" t="n">
        <f aca="false">COORDENADAS!C10</f>
        <v>0</v>
      </c>
      <c r="F31" s="19" t="n">
        <f aca="false">COORDENADAS!B28</f>
        <v>0</v>
      </c>
      <c r="G31" s="19" t="n">
        <f aca="false">COORDENADAS!C28</f>
        <v>-4763.1</v>
      </c>
      <c r="H31" s="20" t="n">
        <f aca="false">SQRT((F31-D31)^2+(G31-E31)^2)</f>
        <v>5499.96560080152</v>
      </c>
      <c r="I31" s="21" t="n">
        <f aca="false">ASENTAMIENTOS!E13</f>
        <v>0</v>
      </c>
      <c r="J31" s="21" t="n">
        <f aca="false">ASENTAMIENTOS!E31</f>
        <v>0</v>
      </c>
      <c r="K31" s="22" t="n">
        <f aca="false">ABS(I31-J31)</f>
        <v>0</v>
      </c>
      <c r="L31" s="23" t="n">
        <f aca="false">IF(H31&gt;0,K31/H31,"")</f>
        <v>0</v>
      </c>
      <c r="M31" s="24" t="n">
        <f aca="false">IF($M$2&gt;0,1/$M$2,"")</f>
        <v>0.002</v>
      </c>
      <c r="N31" s="18" t="str">
        <f aca="false">IF(L31="","—",IF(L31&lt;=M31,"✔ OK","✘ EXCEDE"))</f>
        <v>✔ OK</v>
      </c>
    </row>
    <row r="32" customFormat="false" ht="15" hidden="false" customHeight="true" outlineLevel="0" collapsed="false">
      <c r="A32" s="6" t="s">
        <v>148</v>
      </c>
      <c r="B32" s="18" t="str">
        <f aca="false">ASENTAMIENTOS!A14</f>
        <v>10</v>
      </c>
      <c r="C32" s="18" t="str">
        <f aca="false">ASENTAMIENTOS!A15</f>
        <v>11</v>
      </c>
      <c r="D32" s="19" t="n">
        <f aca="false">COORDENADAS!B11</f>
        <v>5500</v>
      </c>
      <c r="E32" s="19" t="n">
        <f aca="false">COORDENADAS!C11</f>
        <v>-4763.1</v>
      </c>
      <c r="F32" s="19" t="n">
        <f aca="false">COORDENADAS!B12</f>
        <v>8250</v>
      </c>
      <c r="G32" s="19" t="n">
        <f aca="false">COORDENADAS!C12</f>
        <v>-9526.3</v>
      </c>
      <c r="H32" s="20" t="n">
        <f aca="false">SQRT((F32-D32)^2+(G32-E32)^2)</f>
        <v>5500.05220338862</v>
      </c>
      <c r="I32" s="21" t="n">
        <f aca="false">ASENTAMIENTOS!E14</f>
        <v>0</v>
      </c>
      <c r="J32" s="21" t="n">
        <f aca="false">ASENTAMIENTOS!E15</f>
        <v>0</v>
      </c>
      <c r="K32" s="22" t="n">
        <f aca="false">ABS(I32-J32)</f>
        <v>0</v>
      </c>
      <c r="L32" s="23" t="n">
        <f aca="false">IF(H32&gt;0,K32/H32,"")</f>
        <v>0</v>
      </c>
      <c r="M32" s="24" t="n">
        <f aca="false">IF($M$2&gt;0,1/$M$2,"")</f>
        <v>0.002</v>
      </c>
      <c r="N32" s="18" t="str">
        <f aca="false">IF(L32="","—",IF(L32&lt;=M32,"✔ OK","✘ EXCEDE"))</f>
        <v>✔ OK</v>
      </c>
    </row>
    <row r="33" customFormat="false" ht="15" hidden="false" customHeight="true" outlineLevel="0" collapsed="false">
      <c r="A33" s="6" t="s">
        <v>149</v>
      </c>
      <c r="B33" s="18" t="str">
        <f aca="false">ASENTAMIENTOS!A14</f>
        <v>10</v>
      </c>
      <c r="C33" s="18" t="str">
        <f aca="false">ASENTAMIENTOS!A29</f>
        <v>25</v>
      </c>
      <c r="D33" s="19" t="n">
        <f aca="false">COORDENADAS!B11</f>
        <v>5500</v>
      </c>
      <c r="E33" s="19" t="n">
        <f aca="false">COORDENADAS!C11</f>
        <v>-4763.1</v>
      </c>
      <c r="F33" s="19" t="n">
        <f aca="false">COORDENADAS!B26</f>
        <v>10263.117</v>
      </c>
      <c r="G33" s="19" t="n">
        <f aca="false">COORDENADAS!C26</f>
        <v>-2013.119</v>
      </c>
      <c r="H33" s="20" t="n">
        <f aca="false">SQRT((F33-D33)^2+(G33-E33)^2)</f>
        <v>5499.97082319988</v>
      </c>
      <c r="I33" s="21" t="n">
        <f aca="false">ASENTAMIENTOS!E14</f>
        <v>0</v>
      </c>
      <c r="J33" s="21" t="n">
        <f aca="false">ASENTAMIENTOS!E29</f>
        <v>0</v>
      </c>
      <c r="K33" s="22" t="n">
        <f aca="false">ABS(I33-J33)</f>
        <v>0</v>
      </c>
      <c r="L33" s="23" t="n">
        <f aca="false">IF(H33&gt;0,K33/H33,"")</f>
        <v>0</v>
      </c>
      <c r="M33" s="24" t="n">
        <f aca="false">IF($M$2&gt;0,1/$M$2,"")</f>
        <v>0.002</v>
      </c>
      <c r="N33" s="18" t="str">
        <f aca="false">IF(L33="","—",IF(L33&lt;=M33,"✔ OK","✘ EXCEDE"))</f>
        <v>✔ OK</v>
      </c>
    </row>
    <row r="34" customFormat="false" ht="15" hidden="false" customHeight="true" outlineLevel="0" collapsed="false">
      <c r="A34" s="6" t="s">
        <v>150</v>
      </c>
      <c r="B34" s="18" t="str">
        <f aca="false">ASENTAMIENTOS!A14</f>
        <v>10</v>
      </c>
      <c r="C34" s="18" t="str">
        <f aca="false">ASENTAMIENTOS!A31</f>
        <v>27</v>
      </c>
      <c r="D34" s="19" t="n">
        <f aca="false">COORDENADAS!B11</f>
        <v>5500</v>
      </c>
      <c r="E34" s="19" t="n">
        <f aca="false">COORDENADAS!C11</f>
        <v>-4763.1</v>
      </c>
      <c r="F34" s="19" t="n">
        <f aca="false">COORDENADAS!B28</f>
        <v>0</v>
      </c>
      <c r="G34" s="19" t="n">
        <f aca="false">COORDENADAS!C28</f>
        <v>-4763.1</v>
      </c>
      <c r="H34" s="20" t="n">
        <f aca="false">SQRT((F34-D34)^2+(G34-E34)^2)</f>
        <v>5500</v>
      </c>
      <c r="I34" s="21" t="n">
        <f aca="false">ASENTAMIENTOS!E14</f>
        <v>0</v>
      </c>
      <c r="J34" s="21" t="n">
        <f aca="false">ASENTAMIENTOS!E31</f>
        <v>0</v>
      </c>
      <c r="K34" s="22" t="n">
        <f aca="false">ABS(I34-J34)</f>
        <v>0</v>
      </c>
      <c r="L34" s="23" t="n">
        <f aca="false">IF(H34&gt;0,K34/H34,"")</f>
        <v>0</v>
      </c>
      <c r="M34" s="24" t="n">
        <f aca="false">IF($M$2&gt;0,1/$M$2,"")</f>
        <v>0.002</v>
      </c>
      <c r="N34" s="18" t="str">
        <f aca="false">IF(L34="","—",IF(L34&lt;=M34,"✔ OK","✘ EXCEDE"))</f>
        <v>✔ OK</v>
      </c>
    </row>
    <row r="35" customFormat="false" ht="15" hidden="false" customHeight="true" outlineLevel="0" collapsed="false">
      <c r="A35" s="6" t="s">
        <v>151</v>
      </c>
      <c r="B35" s="18" t="str">
        <f aca="false">ASENTAMIENTOS!A14</f>
        <v>10</v>
      </c>
      <c r="C35" s="18" t="str">
        <f aca="false">ASENTAMIENTOS!A78</f>
        <v>83</v>
      </c>
      <c r="D35" s="19" t="n">
        <f aca="false">COORDENADAS!B11</f>
        <v>5500</v>
      </c>
      <c r="E35" s="19" t="n">
        <f aca="false">COORDENADAS!C11</f>
        <v>-4763.1</v>
      </c>
      <c r="F35" s="19" t="n">
        <f aca="false">COORDENADAS!B30</f>
        <v>2750</v>
      </c>
      <c r="G35" s="19" t="n">
        <f aca="false">COORDENADAS!C30</f>
        <v>-9526.3</v>
      </c>
      <c r="H35" s="20" t="n">
        <f aca="false">SQRT((F35-D35)^2+(G35-E35)^2)</f>
        <v>5500.05220338862</v>
      </c>
      <c r="I35" s="21" t="n">
        <f aca="false">ASENTAMIENTOS!E14</f>
        <v>0</v>
      </c>
      <c r="J35" s="21" t="n">
        <f aca="false">ASENTAMIENTOS!E78</f>
        <v>0</v>
      </c>
      <c r="K35" s="22" t="n">
        <f aca="false">ABS(I35-J35)</f>
        <v>0</v>
      </c>
      <c r="L35" s="23" t="n">
        <f aca="false">IF(H35&gt;0,K35/H35,"")</f>
        <v>0</v>
      </c>
      <c r="M35" s="24" t="n">
        <f aca="false">IF($M$2&gt;0,1/$M$2,"")</f>
        <v>0.002</v>
      </c>
      <c r="N35" s="18" t="str">
        <f aca="false">IF(L35="","—",IF(L35&lt;=M35,"✔ OK","✘ EXCEDE"))</f>
        <v>✔ OK</v>
      </c>
    </row>
    <row r="36" customFormat="false" ht="15" hidden="false" customHeight="true" outlineLevel="0" collapsed="false">
      <c r="A36" s="6" t="s">
        <v>152</v>
      </c>
      <c r="B36" s="18" t="str">
        <f aca="false">ASENTAMIENTOS!A15</f>
        <v>11</v>
      </c>
      <c r="C36" s="18" t="str">
        <f aca="false">ASENTAMIENTOS!A30</f>
        <v>26</v>
      </c>
      <c r="D36" s="19" t="n">
        <f aca="false">COORDENADAS!B12</f>
        <v>8250</v>
      </c>
      <c r="E36" s="19" t="n">
        <f aca="false">COORDENADAS!C12</f>
        <v>-9526.3</v>
      </c>
      <c r="F36" s="19" t="n">
        <f aca="false">COORDENADAS!B27</f>
        <v>13013.165</v>
      </c>
      <c r="G36" s="19" t="n">
        <f aca="false">COORDENADAS!C27</f>
        <v>-6776.2915</v>
      </c>
      <c r="H36" s="20" t="n">
        <f aca="false">SQRT((F36-D36)^2+(G36-E36)^2)</f>
        <v>5500.02614241944</v>
      </c>
      <c r="I36" s="21" t="n">
        <f aca="false">ASENTAMIENTOS!E15</f>
        <v>0</v>
      </c>
      <c r="J36" s="21" t="n">
        <f aca="false">ASENTAMIENTOS!E30</f>
        <v>0</v>
      </c>
      <c r="K36" s="22" t="n">
        <f aca="false">ABS(I36-J36)</f>
        <v>0</v>
      </c>
      <c r="L36" s="23" t="n">
        <f aca="false">IF(H36&gt;0,K36/H36,"")</f>
        <v>0</v>
      </c>
      <c r="M36" s="24" t="n">
        <f aca="false">IF($M$2&gt;0,1/$M$2,"")</f>
        <v>0.002</v>
      </c>
      <c r="N36" s="18" t="str">
        <f aca="false">IF(L36="","—",IF(L36&lt;=M36,"✔ OK","✘ EXCEDE"))</f>
        <v>✔ OK</v>
      </c>
    </row>
    <row r="37" customFormat="false" ht="15" hidden="false" customHeight="true" outlineLevel="0" collapsed="false">
      <c r="A37" s="6" t="s">
        <v>153</v>
      </c>
      <c r="B37" s="18" t="str">
        <f aca="false">ASENTAMIENTOS!A15</f>
        <v>11</v>
      </c>
      <c r="C37" s="18" t="str">
        <f aca="false">ASENTAMIENTOS!A78</f>
        <v>83</v>
      </c>
      <c r="D37" s="19" t="n">
        <f aca="false">COORDENADAS!B12</f>
        <v>8250</v>
      </c>
      <c r="E37" s="19" t="n">
        <f aca="false">COORDENADAS!C12</f>
        <v>-9526.3</v>
      </c>
      <c r="F37" s="19" t="n">
        <f aca="false">COORDENADAS!B30</f>
        <v>2750</v>
      </c>
      <c r="G37" s="19" t="n">
        <f aca="false">COORDENADAS!C30</f>
        <v>-9526.3</v>
      </c>
      <c r="H37" s="20" t="n">
        <f aca="false">SQRT((F37-D37)^2+(G37-E37)^2)</f>
        <v>5500</v>
      </c>
      <c r="I37" s="21" t="n">
        <f aca="false">ASENTAMIENTOS!E15</f>
        <v>0</v>
      </c>
      <c r="J37" s="21" t="n">
        <f aca="false">ASENTAMIENTOS!E78</f>
        <v>0</v>
      </c>
      <c r="K37" s="22" t="n">
        <f aca="false">ABS(I37-J37)</f>
        <v>0</v>
      </c>
      <c r="L37" s="23" t="n">
        <f aca="false">IF(H37&gt;0,K37/H37,"")</f>
        <v>0</v>
      </c>
      <c r="M37" s="24" t="n">
        <f aca="false">IF($M$2&gt;0,1/$M$2,"")</f>
        <v>0.002</v>
      </c>
      <c r="N37" s="18" t="str">
        <f aca="false">IF(L37="","—",IF(L37&lt;=M37,"✔ OK","✘ EXCEDE"))</f>
        <v>✔ OK</v>
      </c>
    </row>
    <row r="38" customFormat="false" ht="15" hidden="false" customHeight="true" outlineLevel="0" collapsed="false">
      <c r="A38" s="6" t="s">
        <v>154</v>
      </c>
      <c r="B38" s="18" t="str">
        <f aca="false">ASENTAMIENTOS!A16</f>
        <v>12</v>
      </c>
      <c r="C38" s="18" t="str">
        <f aca="false">ASENTAMIENTOS!A17</f>
        <v>13</v>
      </c>
      <c r="D38" s="19" t="n">
        <f aca="false">COORDENADAS!B13</f>
        <v>17776.3</v>
      </c>
      <c r="E38" s="19" t="n">
        <f aca="false">COORDENADAS!C13</f>
        <v>-4026.3</v>
      </c>
      <c r="F38" s="19" t="n">
        <f aca="false">COORDENADAS!B14</f>
        <v>15026.3</v>
      </c>
      <c r="G38" s="19" t="n">
        <f aca="false">COORDENADAS!C14</f>
        <v>736.9</v>
      </c>
      <c r="H38" s="20" t="n">
        <f aca="false">SQRT((F38-D38)^2+(G38-E38)^2)</f>
        <v>5500.05220338862</v>
      </c>
      <c r="I38" s="21" t="n">
        <f aca="false">ASENTAMIENTOS!E16</f>
        <v>0</v>
      </c>
      <c r="J38" s="21" t="n">
        <f aca="false">ASENTAMIENTOS!E17</f>
        <v>0</v>
      </c>
      <c r="K38" s="22" t="n">
        <f aca="false">ABS(I38-J38)</f>
        <v>0</v>
      </c>
      <c r="L38" s="23" t="n">
        <f aca="false">IF(H38&gt;0,K38/H38,"")</f>
        <v>0</v>
      </c>
      <c r="M38" s="24" t="n">
        <f aca="false">IF($M$2&gt;0,1/$M$2,"")</f>
        <v>0.002</v>
      </c>
      <c r="N38" s="18" t="str">
        <f aca="false">IF(L38="","—",IF(L38&lt;=M38,"✔ OK","✘ EXCEDE"))</f>
        <v>✔ OK</v>
      </c>
    </row>
    <row r="39" customFormat="false" ht="15" hidden="false" customHeight="true" outlineLevel="0" collapsed="false">
      <c r="A39" s="6" t="s">
        <v>155</v>
      </c>
      <c r="B39" s="18" t="str">
        <f aca="false">ASENTAMIENTOS!A16</f>
        <v>12</v>
      </c>
      <c r="C39" s="18" t="str">
        <f aca="false">ASENTAMIENTOS!A30</f>
        <v>26</v>
      </c>
      <c r="D39" s="19" t="n">
        <f aca="false">COORDENADAS!B13</f>
        <v>17776.3</v>
      </c>
      <c r="E39" s="19" t="n">
        <f aca="false">COORDENADAS!C13</f>
        <v>-4026.3</v>
      </c>
      <c r="F39" s="19" t="n">
        <f aca="false">COORDENADAS!B27</f>
        <v>13013.165</v>
      </c>
      <c r="G39" s="19" t="n">
        <f aca="false">COORDENADAS!C27</f>
        <v>-6776.2915</v>
      </c>
      <c r="H39" s="20" t="n">
        <f aca="false">SQRT((F39-D39)^2+(G39-E39)^2)</f>
        <v>5499.99166165706</v>
      </c>
      <c r="I39" s="21" t="n">
        <f aca="false">ASENTAMIENTOS!E16</f>
        <v>0</v>
      </c>
      <c r="J39" s="21" t="n">
        <f aca="false">ASENTAMIENTOS!E30</f>
        <v>0</v>
      </c>
      <c r="K39" s="22" t="n">
        <f aca="false">ABS(I39-J39)</f>
        <v>0</v>
      </c>
      <c r="L39" s="23" t="n">
        <f aca="false">IF(H39&gt;0,K39/H39,"")</f>
        <v>0</v>
      </c>
      <c r="M39" s="24" t="n">
        <f aca="false">IF($M$2&gt;0,1/$M$2,"")</f>
        <v>0.002</v>
      </c>
      <c r="N39" s="18" t="str">
        <f aca="false">IF(L39="","—",IF(L39&lt;=M39,"✔ OK","✘ EXCEDE"))</f>
        <v>✔ OK</v>
      </c>
    </row>
    <row r="40" customFormat="false" ht="15" hidden="false" customHeight="true" outlineLevel="0" collapsed="false">
      <c r="A40" s="6" t="s">
        <v>156</v>
      </c>
      <c r="B40" s="18" t="str">
        <f aca="false">ASENTAMIENTOS!A17</f>
        <v>13</v>
      </c>
      <c r="C40" s="18" t="str">
        <f aca="false">ASENTAMIENTOS!A18</f>
        <v>14</v>
      </c>
      <c r="D40" s="19" t="n">
        <f aca="false">COORDENADAS!B14</f>
        <v>15026.3</v>
      </c>
      <c r="E40" s="19" t="n">
        <f aca="false">COORDENADAS!C14</f>
        <v>736.9</v>
      </c>
      <c r="F40" s="19" t="n">
        <f aca="false">COORDENADAS!B15</f>
        <v>12276.3</v>
      </c>
      <c r="G40" s="19" t="n">
        <f aca="false">COORDENADAS!C15</f>
        <v>5500</v>
      </c>
      <c r="H40" s="20" t="n">
        <f aca="false">SQRT((F40-D40)^2+(G40-E40)^2)</f>
        <v>5499.96560080152</v>
      </c>
      <c r="I40" s="21" t="n">
        <f aca="false">ASENTAMIENTOS!E17</f>
        <v>0</v>
      </c>
      <c r="J40" s="21" t="n">
        <f aca="false">ASENTAMIENTOS!E18</f>
        <v>0</v>
      </c>
      <c r="K40" s="22" t="n">
        <f aca="false">ABS(I40-J40)</f>
        <v>0</v>
      </c>
      <c r="L40" s="23" t="n">
        <f aca="false">IF(H40&gt;0,K40/H40,"")</f>
        <v>0</v>
      </c>
      <c r="M40" s="24" t="n">
        <f aca="false">IF($M$2&gt;0,1/$M$2,"")</f>
        <v>0.002</v>
      </c>
      <c r="N40" s="18" t="str">
        <f aca="false">IF(L40="","—",IF(L40&lt;=M40,"✔ OK","✘ EXCEDE"))</f>
        <v>✔ OK</v>
      </c>
    </row>
    <row r="41" customFormat="false" ht="15" hidden="false" customHeight="true" outlineLevel="0" collapsed="false">
      <c r="A41" s="6" t="s">
        <v>157</v>
      </c>
      <c r="B41" s="18" t="str">
        <f aca="false">ASENTAMIENTOS!A17</f>
        <v>13</v>
      </c>
      <c r="C41" s="18" t="str">
        <f aca="false">ASENTAMIENTOS!A29</f>
        <v>25</v>
      </c>
      <c r="D41" s="19" t="n">
        <f aca="false">COORDENADAS!B14</f>
        <v>15026.3</v>
      </c>
      <c r="E41" s="19" t="n">
        <f aca="false">COORDENADAS!C14</f>
        <v>736.9</v>
      </c>
      <c r="F41" s="19" t="n">
        <f aca="false">COORDENADAS!B26</f>
        <v>10263.117</v>
      </c>
      <c r="G41" s="19" t="n">
        <f aca="false">COORDENADAS!C26</f>
        <v>-2013.119</v>
      </c>
      <c r="H41" s="20" t="n">
        <f aca="false">SQRT((F41-D41)^2+(G41-E41)^2)</f>
        <v>5500.04698087662</v>
      </c>
      <c r="I41" s="21" t="n">
        <f aca="false">ASENTAMIENTOS!E17</f>
        <v>0</v>
      </c>
      <c r="J41" s="21" t="n">
        <f aca="false">ASENTAMIENTOS!E29</f>
        <v>0</v>
      </c>
      <c r="K41" s="22" t="n">
        <f aca="false">ABS(I41-J41)</f>
        <v>0</v>
      </c>
      <c r="L41" s="23" t="n">
        <f aca="false">IF(H41&gt;0,K41/H41,"")</f>
        <v>0</v>
      </c>
      <c r="M41" s="24" t="n">
        <f aca="false">IF($M$2&gt;0,1/$M$2,"")</f>
        <v>0.002</v>
      </c>
      <c r="N41" s="18" t="str">
        <f aca="false">IF(L41="","—",IF(L41&lt;=M41,"✔ OK","✘ EXCEDE"))</f>
        <v>✔ OK</v>
      </c>
    </row>
    <row r="42" customFormat="false" ht="15" hidden="false" customHeight="true" outlineLevel="0" collapsed="false">
      <c r="A42" s="6" t="s">
        <v>158</v>
      </c>
      <c r="B42" s="18" t="str">
        <f aca="false">ASENTAMIENTOS!A18</f>
        <v>14</v>
      </c>
      <c r="C42" s="18" t="str">
        <f aca="false">ASENTAMIENTOS!A22</f>
        <v>18</v>
      </c>
      <c r="D42" s="19" t="n">
        <f aca="false">COORDENADAS!B15</f>
        <v>12276.3</v>
      </c>
      <c r="E42" s="19" t="n">
        <f aca="false">COORDENADAS!C15</f>
        <v>5500</v>
      </c>
      <c r="F42" s="19" t="n">
        <f aca="false">COORDENADAS!B19</f>
        <v>7513.1</v>
      </c>
      <c r="G42" s="19" t="n">
        <f aca="false">COORDENADAS!C19</f>
        <v>8250</v>
      </c>
      <c r="H42" s="20" t="n">
        <f aca="false">SQRT((F42-D42)^2+(G42-E42)^2)</f>
        <v>5500.05220338862</v>
      </c>
      <c r="I42" s="21" t="n">
        <f aca="false">ASENTAMIENTOS!E18</f>
        <v>0</v>
      </c>
      <c r="J42" s="21" t="n">
        <f aca="false">ASENTAMIENTOS!E22</f>
        <v>0</v>
      </c>
      <c r="K42" s="22" t="n">
        <f aca="false">ABS(I42-J42)</f>
        <v>0</v>
      </c>
      <c r="L42" s="23" t="n">
        <f aca="false">IF(H42&gt;0,K42/H42,"")</f>
        <v>0</v>
      </c>
      <c r="M42" s="24" t="n">
        <f aca="false">IF($M$2&gt;0,1/$M$2,"")</f>
        <v>0.002</v>
      </c>
      <c r="N42" s="18" t="str">
        <f aca="false">IF(L42="","—",IF(L42&lt;=M42,"✔ OK","✘ EXCEDE"))</f>
        <v>✔ OK</v>
      </c>
    </row>
    <row r="43" customFormat="false" ht="15" hidden="false" customHeight="true" outlineLevel="0" collapsed="false">
      <c r="A43" s="6" t="s">
        <v>159</v>
      </c>
      <c r="B43" s="18" t="str">
        <f aca="false">ASENTAMIENTOS!A18</f>
        <v>14</v>
      </c>
      <c r="C43" s="18" t="str">
        <f aca="false">ASENTAMIENTOS!A28</f>
        <v>24</v>
      </c>
      <c r="D43" s="19" t="n">
        <f aca="false">COORDENADAS!B15</f>
        <v>12276.3</v>
      </c>
      <c r="E43" s="19" t="n">
        <f aca="false">COORDENADAS!C15</f>
        <v>5500</v>
      </c>
      <c r="F43" s="19" t="n">
        <f aca="false">COORDENADAS!B25</f>
        <v>7513.1</v>
      </c>
      <c r="G43" s="19" t="n">
        <f aca="false">COORDENADAS!C25</f>
        <v>2750</v>
      </c>
      <c r="H43" s="20" t="n">
        <f aca="false">SQRT((F43-D43)^2+(G43-E43)^2)</f>
        <v>5500.05220338862</v>
      </c>
      <c r="I43" s="21" t="n">
        <f aca="false">ASENTAMIENTOS!E18</f>
        <v>0</v>
      </c>
      <c r="J43" s="21" t="n">
        <f aca="false">ASENTAMIENTOS!E28</f>
        <v>0</v>
      </c>
      <c r="K43" s="22" t="n">
        <f aca="false">ABS(I43-J43)</f>
        <v>0</v>
      </c>
      <c r="L43" s="23" t="n">
        <f aca="false">IF(H43&gt;0,K43/H43,"")</f>
        <v>0</v>
      </c>
      <c r="M43" s="24" t="n">
        <f aca="false">IF($M$2&gt;0,1/$M$2,"")</f>
        <v>0.002</v>
      </c>
      <c r="N43" s="18" t="str">
        <f aca="false">IF(L43="","—",IF(L43&lt;=M43,"✔ OK","✘ EXCEDE"))</f>
        <v>✔ OK</v>
      </c>
    </row>
    <row r="44" customFormat="false" ht="15" hidden="false" customHeight="true" outlineLevel="0" collapsed="false">
      <c r="A44" s="6" t="s">
        <v>160</v>
      </c>
      <c r="B44" s="18" t="str">
        <f aca="false">ASENTAMIENTOS!A19</f>
        <v>15</v>
      </c>
      <c r="C44" s="18" t="str">
        <f aca="false">ASENTAMIENTOS!A20</f>
        <v>16</v>
      </c>
      <c r="D44" s="19" t="n">
        <f aca="false">COORDENADAS!B16</f>
        <v>2750</v>
      </c>
      <c r="E44" s="19" t="n">
        <f aca="false">COORDENADAS!C16</f>
        <v>11000</v>
      </c>
      <c r="F44" s="19" t="n">
        <f aca="false">COORDENADAS!B17</f>
        <v>-2750</v>
      </c>
      <c r="G44" s="19" t="n">
        <f aca="false">COORDENADAS!C17</f>
        <v>11000</v>
      </c>
      <c r="H44" s="20" t="n">
        <f aca="false">SQRT((F44-D44)^2+(G44-E44)^2)</f>
        <v>5500</v>
      </c>
      <c r="I44" s="21" t="n">
        <f aca="false">ASENTAMIENTOS!E19</f>
        <v>0</v>
      </c>
      <c r="J44" s="21" t="n">
        <f aca="false">ASENTAMIENTOS!E20</f>
        <v>0</v>
      </c>
      <c r="K44" s="22" t="n">
        <f aca="false">ABS(I44-J44)</f>
        <v>0</v>
      </c>
      <c r="L44" s="23" t="n">
        <f aca="false">IF(H44&gt;0,K44/H44,"")</f>
        <v>0</v>
      </c>
      <c r="M44" s="24" t="n">
        <f aca="false">IF($M$2&gt;0,1/$M$2,"")</f>
        <v>0.002</v>
      </c>
      <c r="N44" s="18" t="str">
        <f aca="false">IF(L44="","—",IF(L44&lt;=M44,"✔ OK","✘ EXCEDE"))</f>
        <v>✔ OK</v>
      </c>
    </row>
    <row r="45" customFormat="false" ht="15" hidden="false" customHeight="true" outlineLevel="0" collapsed="false">
      <c r="A45" s="6" t="s">
        <v>161</v>
      </c>
      <c r="B45" s="18" t="str">
        <f aca="false">ASENTAMIENTOS!A19</f>
        <v>15</v>
      </c>
      <c r="C45" s="18" t="str">
        <f aca="false">ASENTAMIENTOS!A22</f>
        <v>18</v>
      </c>
      <c r="D45" s="19" t="n">
        <f aca="false">COORDENADAS!B16</f>
        <v>2750</v>
      </c>
      <c r="E45" s="19" t="n">
        <f aca="false">COORDENADAS!C16</f>
        <v>11000</v>
      </c>
      <c r="F45" s="19" t="n">
        <f aca="false">COORDENADAS!B19</f>
        <v>7513.1</v>
      </c>
      <c r="G45" s="19" t="n">
        <f aca="false">COORDENADAS!C19</f>
        <v>8250</v>
      </c>
      <c r="H45" s="20" t="n">
        <f aca="false">SQRT((F45-D45)^2+(G45-E45)^2)</f>
        <v>5499.96560080152</v>
      </c>
      <c r="I45" s="21" t="n">
        <f aca="false">ASENTAMIENTOS!E19</f>
        <v>0</v>
      </c>
      <c r="J45" s="21" t="n">
        <f aca="false">ASENTAMIENTOS!E22</f>
        <v>0</v>
      </c>
      <c r="K45" s="22" t="n">
        <f aca="false">ABS(I45-J45)</f>
        <v>0</v>
      </c>
      <c r="L45" s="23" t="n">
        <f aca="false">IF(H45&gt;0,K45/H45,"")</f>
        <v>0</v>
      </c>
      <c r="M45" s="24" t="n">
        <f aca="false">IF($M$2&gt;0,1/$M$2,"")</f>
        <v>0.002</v>
      </c>
      <c r="N45" s="18" t="str">
        <f aca="false">IF(L45="","—",IF(L45&lt;=M45,"✔ OK","✘ EXCEDE"))</f>
        <v>✔ OK</v>
      </c>
    </row>
    <row r="46" customFormat="false" ht="15" hidden="false" customHeight="true" outlineLevel="0" collapsed="false">
      <c r="A46" s="6" t="s">
        <v>162</v>
      </c>
      <c r="B46" s="18" t="str">
        <f aca="false">ASENTAMIENTOS!A19</f>
        <v>15</v>
      </c>
      <c r="C46" s="18" t="str">
        <f aca="false">ASENTAMIENTOS!A27</f>
        <v>23</v>
      </c>
      <c r="D46" s="19" t="n">
        <f aca="false">COORDENADAS!B16</f>
        <v>2750</v>
      </c>
      <c r="E46" s="19" t="n">
        <f aca="false">COORDENADAS!C16</f>
        <v>11000</v>
      </c>
      <c r="F46" s="19" t="n">
        <f aca="false">COORDENADAS!B24</f>
        <v>2750</v>
      </c>
      <c r="G46" s="19" t="n">
        <f aca="false">COORDENADAS!C24</f>
        <v>5500</v>
      </c>
      <c r="H46" s="20" t="n">
        <f aca="false">SQRT((F46-D46)^2+(G46-E46)^2)</f>
        <v>5500</v>
      </c>
      <c r="I46" s="21" t="n">
        <f aca="false">ASENTAMIENTOS!E19</f>
        <v>0</v>
      </c>
      <c r="J46" s="21" t="n">
        <f aca="false">ASENTAMIENTOS!E27</f>
        <v>0</v>
      </c>
      <c r="K46" s="22" t="n">
        <f aca="false">ABS(I46-J46)</f>
        <v>0</v>
      </c>
      <c r="L46" s="23" t="n">
        <f aca="false">IF(H46&gt;0,K46/H46,"")</f>
        <v>0</v>
      </c>
      <c r="M46" s="24" t="n">
        <f aca="false">IF($M$2&gt;0,1/$M$2,"")</f>
        <v>0.002</v>
      </c>
      <c r="N46" s="18" t="str">
        <f aca="false">IF(L46="","—",IF(L46&lt;=M46,"✔ OK","✘ EXCEDE"))</f>
        <v>✔ OK</v>
      </c>
    </row>
    <row r="47" customFormat="false" ht="15" hidden="false" customHeight="true" outlineLevel="0" collapsed="false">
      <c r="A47" s="6" t="s">
        <v>163</v>
      </c>
      <c r="B47" s="18" t="str">
        <f aca="false">ASENTAMIENTOS!A20</f>
        <v>16</v>
      </c>
      <c r="C47" s="18" t="str">
        <f aca="false">ASENTAMIENTOS!A21</f>
        <v>17</v>
      </c>
      <c r="D47" s="19" t="n">
        <f aca="false">COORDENADAS!B17</f>
        <v>-2750</v>
      </c>
      <c r="E47" s="19" t="n">
        <f aca="false">COORDENADAS!C17</f>
        <v>11000</v>
      </c>
      <c r="F47" s="19" t="n">
        <f aca="false">COORDENADAS!B18</f>
        <v>-7513.1</v>
      </c>
      <c r="G47" s="19" t="n">
        <f aca="false">COORDENADAS!C18</f>
        <v>8250</v>
      </c>
      <c r="H47" s="20" t="n">
        <f aca="false">SQRT((F47-D47)^2+(G47-E47)^2)</f>
        <v>5499.96560080152</v>
      </c>
      <c r="I47" s="21" t="n">
        <f aca="false">ASENTAMIENTOS!E20</f>
        <v>0</v>
      </c>
      <c r="J47" s="21" t="n">
        <f aca="false">ASENTAMIENTOS!E21</f>
        <v>0</v>
      </c>
      <c r="K47" s="22" t="n">
        <f aca="false">ABS(I47-J47)</f>
        <v>0</v>
      </c>
      <c r="L47" s="23" t="n">
        <f aca="false">IF(H47&gt;0,K47/H47,"")</f>
        <v>0</v>
      </c>
      <c r="M47" s="24" t="n">
        <f aca="false">IF($M$2&gt;0,1/$M$2,"")</f>
        <v>0.002</v>
      </c>
      <c r="N47" s="18" t="str">
        <f aca="false">IF(L47="","—",IF(L47&lt;=M47,"✔ OK","✘ EXCEDE"))</f>
        <v>✔ OK</v>
      </c>
    </row>
    <row r="48" customFormat="false" ht="15" hidden="false" customHeight="true" outlineLevel="0" collapsed="false">
      <c r="A48" s="6" t="s">
        <v>164</v>
      </c>
      <c r="B48" s="18" t="str">
        <f aca="false">ASENTAMIENTOS!A20</f>
        <v>16</v>
      </c>
      <c r="C48" s="18" t="str">
        <f aca="false">ASENTAMIENTOS!A26</f>
        <v>22</v>
      </c>
      <c r="D48" s="19" t="n">
        <f aca="false">COORDENADAS!B17</f>
        <v>-2750</v>
      </c>
      <c r="E48" s="19" t="n">
        <f aca="false">COORDENADAS!C17</f>
        <v>11000</v>
      </c>
      <c r="F48" s="19" t="n">
        <f aca="false">COORDENADAS!B23</f>
        <v>-2750</v>
      </c>
      <c r="G48" s="19" t="n">
        <f aca="false">COORDENADAS!C23</f>
        <v>5500</v>
      </c>
      <c r="H48" s="20" t="n">
        <f aca="false">SQRT((F48-D48)^2+(G48-E48)^2)</f>
        <v>5500</v>
      </c>
      <c r="I48" s="21" t="n">
        <f aca="false">ASENTAMIENTOS!E20</f>
        <v>0</v>
      </c>
      <c r="J48" s="21" t="n">
        <f aca="false">ASENTAMIENTOS!E26</f>
        <v>0</v>
      </c>
      <c r="K48" s="22" t="n">
        <f aca="false">ABS(I48-J48)</f>
        <v>0</v>
      </c>
      <c r="L48" s="23" t="n">
        <f aca="false">IF(H48&gt;0,K48/H48,"")</f>
        <v>0</v>
      </c>
      <c r="M48" s="24" t="n">
        <f aca="false">IF($M$2&gt;0,1/$M$2,"")</f>
        <v>0.002</v>
      </c>
      <c r="N48" s="18" t="str">
        <f aca="false">IF(L48="","—",IF(L48&lt;=M48,"✔ OK","✘ EXCEDE"))</f>
        <v>✔ OK</v>
      </c>
    </row>
    <row r="49" customFormat="false" ht="15" hidden="false" customHeight="true" outlineLevel="0" collapsed="false">
      <c r="A49" s="6" t="s">
        <v>165</v>
      </c>
      <c r="B49" s="18" t="str">
        <f aca="false">ASENTAMIENTOS!A21</f>
        <v>17</v>
      </c>
      <c r="C49" s="18" t="str">
        <f aca="false">ASENTAMIENTOS!A25</f>
        <v>21</v>
      </c>
      <c r="D49" s="19" t="n">
        <f aca="false">COORDENADAS!B18</f>
        <v>-7513.1</v>
      </c>
      <c r="E49" s="19" t="n">
        <f aca="false">COORDENADAS!C18</f>
        <v>8250</v>
      </c>
      <c r="F49" s="19" t="n">
        <f aca="false">COORDENADAS!B22</f>
        <v>-7513.1</v>
      </c>
      <c r="G49" s="19" t="n">
        <f aca="false">COORDENADAS!C22</f>
        <v>2750</v>
      </c>
      <c r="H49" s="20" t="n">
        <f aca="false">SQRT((F49-D49)^2+(G49-E49)^2)</f>
        <v>5500</v>
      </c>
      <c r="I49" s="21" t="n">
        <f aca="false">ASENTAMIENTOS!E21</f>
        <v>0</v>
      </c>
      <c r="J49" s="21" t="n">
        <f aca="false">ASENTAMIENTOS!E25</f>
        <v>0</v>
      </c>
      <c r="K49" s="22" t="n">
        <f aca="false">ABS(I49-J49)</f>
        <v>0</v>
      </c>
      <c r="L49" s="23" t="n">
        <f aca="false">IF(H49&gt;0,K49/H49,"")</f>
        <v>0</v>
      </c>
      <c r="M49" s="24" t="n">
        <f aca="false">IF($M$2&gt;0,1/$M$2,"")</f>
        <v>0.002</v>
      </c>
      <c r="N49" s="18" t="str">
        <f aca="false">IF(L49="","—",IF(L49&lt;=M49,"✔ OK","✘ EXCEDE"))</f>
        <v>✔ OK</v>
      </c>
    </row>
    <row r="50" customFormat="false" ht="15" hidden="false" customHeight="true" outlineLevel="0" collapsed="false">
      <c r="A50" s="6" t="s">
        <v>166</v>
      </c>
      <c r="B50" s="18" t="str">
        <f aca="false">ASENTAMIENTOS!A21</f>
        <v>17</v>
      </c>
      <c r="C50" s="18" t="str">
        <f aca="false">ASENTAMIENTOS!A26</f>
        <v>22</v>
      </c>
      <c r="D50" s="19" t="n">
        <f aca="false">COORDENADAS!B18</f>
        <v>-7513.1</v>
      </c>
      <c r="E50" s="19" t="n">
        <f aca="false">COORDENADAS!C18</f>
        <v>8250</v>
      </c>
      <c r="F50" s="19" t="n">
        <f aca="false">COORDENADAS!B23</f>
        <v>-2750</v>
      </c>
      <c r="G50" s="19" t="n">
        <f aca="false">COORDENADAS!C23</f>
        <v>5500</v>
      </c>
      <c r="H50" s="20" t="n">
        <f aca="false">SQRT((F50-D50)^2+(G50-E50)^2)</f>
        <v>5499.96560080152</v>
      </c>
      <c r="I50" s="21" t="n">
        <f aca="false">ASENTAMIENTOS!E21</f>
        <v>0</v>
      </c>
      <c r="J50" s="21" t="n">
        <f aca="false">ASENTAMIENTOS!E26</f>
        <v>0</v>
      </c>
      <c r="K50" s="22" t="n">
        <f aca="false">ABS(I50-J50)</f>
        <v>0</v>
      </c>
      <c r="L50" s="23" t="n">
        <f aca="false">IF(H50&gt;0,K50/H50,"")</f>
        <v>0</v>
      </c>
      <c r="M50" s="24" t="n">
        <f aca="false">IF($M$2&gt;0,1/$M$2,"")</f>
        <v>0.002</v>
      </c>
      <c r="N50" s="18" t="str">
        <f aca="false">IF(L50="","—",IF(L50&lt;=M50,"✔ OK","✘ EXCEDE"))</f>
        <v>✔ OK</v>
      </c>
    </row>
    <row r="51" customFormat="false" ht="15" hidden="false" customHeight="true" outlineLevel="0" collapsed="false">
      <c r="A51" s="6" t="s">
        <v>167</v>
      </c>
      <c r="B51" s="18" t="str">
        <f aca="false">ASENTAMIENTOS!A22</f>
        <v>18</v>
      </c>
      <c r="C51" s="18" t="str">
        <f aca="false">ASENTAMIENTOS!A27</f>
        <v>23</v>
      </c>
      <c r="D51" s="19" t="n">
        <f aca="false">COORDENADAS!B19</f>
        <v>7513.1</v>
      </c>
      <c r="E51" s="19" t="n">
        <f aca="false">COORDENADAS!C19</f>
        <v>8250</v>
      </c>
      <c r="F51" s="19" t="n">
        <f aca="false">COORDENADAS!B24</f>
        <v>2750</v>
      </c>
      <c r="G51" s="19" t="n">
        <f aca="false">COORDENADAS!C24</f>
        <v>5500</v>
      </c>
      <c r="H51" s="20" t="n">
        <f aca="false">SQRT((F51-D51)^2+(G51-E51)^2)</f>
        <v>5499.96560080152</v>
      </c>
      <c r="I51" s="21" t="n">
        <f aca="false">ASENTAMIENTOS!E22</f>
        <v>0</v>
      </c>
      <c r="J51" s="21" t="n">
        <f aca="false">ASENTAMIENTOS!E27</f>
        <v>0</v>
      </c>
      <c r="K51" s="22" t="n">
        <f aca="false">ABS(I51-J51)</f>
        <v>0</v>
      </c>
      <c r="L51" s="23" t="n">
        <f aca="false">IF(H51&gt;0,K51/H51,"")</f>
        <v>0</v>
      </c>
      <c r="M51" s="24" t="n">
        <f aca="false">IF($M$2&gt;0,1/$M$2,"")</f>
        <v>0.002</v>
      </c>
      <c r="N51" s="18" t="str">
        <f aca="false">IF(L51="","—",IF(L51&lt;=M51,"✔ OK","✘ EXCEDE"))</f>
        <v>✔ OK</v>
      </c>
    </row>
    <row r="52" customFormat="false" ht="15" hidden="false" customHeight="true" outlineLevel="0" collapsed="false">
      <c r="A52" s="6" t="s">
        <v>168</v>
      </c>
      <c r="B52" s="18" t="str">
        <f aca="false">ASENTAMIENTOS!A22</f>
        <v>18</v>
      </c>
      <c r="C52" s="18" t="str">
        <f aca="false">ASENTAMIENTOS!A28</f>
        <v>24</v>
      </c>
      <c r="D52" s="19" t="n">
        <f aca="false">COORDENADAS!B19</f>
        <v>7513.1</v>
      </c>
      <c r="E52" s="19" t="n">
        <f aca="false">COORDENADAS!C19</f>
        <v>8250</v>
      </c>
      <c r="F52" s="19" t="n">
        <f aca="false">COORDENADAS!B25</f>
        <v>7513.1</v>
      </c>
      <c r="G52" s="19" t="n">
        <f aca="false">COORDENADAS!C25</f>
        <v>2750</v>
      </c>
      <c r="H52" s="20" t="n">
        <f aca="false">SQRT((F52-D52)^2+(G52-E52)^2)</f>
        <v>5500</v>
      </c>
      <c r="I52" s="21" t="n">
        <f aca="false">ASENTAMIENTOS!E22</f>
        <v>0</v>
      </c>
      <c r="J52" s="21" t="n">
        <f aca="false">ASENTAMIENTOS!E28</f>
        <v>0</v>
      </c>
      <c r="K52" s="22" t="n">
        <f aca="false">ABS(I52-J52)</f>
        <v>0</v>
      </c>
      <c r="L52" s="23" t="n">
        <f aca="false">IF(H52&gt;0,K52/H52,"")</f>
        <v>0</v>
      </c>
      <c r="M52" s="24" t="n">
        <f aca="false">IF($M$2&gt;0,1/$M$2,"")</f>
        <v>0.002</v>
      </c>
      <c r="N52" s="18" t="str">
        <f aca="false">IF(L52="","—",IF(L52&lt;=M52,"✔ OK","✘ EXCEDE"))</f>
        <v>✔ OK</v>
      </c>
    </row>
    <row r="53" customFormat="false" ht="15" hidden="false" customHeight="true" outlineLevel="0" collapsed="false">
      <c r="A53" s="6" t="s">
        <v>169</v>
      </c>
      <c r="B53" s="18" t="str">
        <f aca="false">ASENTAMIENTOS!A23</f>
        <v>19</v>
      </c>
      <c r="C53" s="18" t="str">
        <f aca="false">ASENTAMIENTOS!A24</f>
        <v>20</v>
      </c>
      <c r="D53" s="19" t="n">
        <f aca="false">COORDENADAS!B20</f>
        <v>-13013.165</v>
      </c>
      <c r="E53" s="19" t="n">
        <f aca="false">COORDENADAS!C20</f>
        <v>-6776.2915</v>
      </c>
      <c r="F53" s="19" t="n">
        <f aca="false">COORDENADAS!B21</f>
        <v>-10263.117</v>
      </c>
      <c r="G53" s="19" t="n">
        <f aca="false">COORDENADAS!C21</f>
        <v>-2013.119</v>
      </c>
      <c r="H53" s="20" t="n">
        <f aca="false">SQRT((F53-D53)^2+(G53-E53)^2)</f>
        <v>5500.05238766507</v>
      </c>
      <c r="I53" s="21" t="n">
        <f aca="false">ASENTAMIENTOS!E23</f>
        <v>0</v>
      </c>
      <c r="J53" s="21" t="n">
        <f aca="false">ASENTAMIENTOS!E24</f>
        <v>0</v>
      </c>
      <c r="K53" s="22" t="n">
        <f aca="false">ABS(I53-J53)</f>
        <v>0</v>
      </c>
      <c r="L53" s="23" t="n">
        <f aca="false">IF(H53&gt;0,K53/H53,"")</f>
        <v>0</v>
      </c>
      <c r="M53" s="24" t="n">
        <f aca="false">IF($M$2&gt;0,1/$M$2,"")</f>
        <v>0.002</v>
      </c>
      <c r="N53" s="18" t="str">
        <f aca="false">IF(L53="","—",IF(L53&lt;=M53,"✔ OK","✘ EXCEDE"))</f>
        <v>✔ OK</v>
      </c>
    </row>
    <row r="54" customFormat="false" ht="15" hidden="false" customHeight="true" outlineLevel="0" collapsed="false">
      <c r="A54" s="6" t="s">
        <v>170</v>
      </c>
      <c r="B54" s="18" t="str">
        <f aca="false">ASENTAMIENTOS!A24</f>
        <v>20</v>
      </c>
      <c r="C54" s="18" t="str">
        <f aca="false">ASENTAMIENTOS!A25</f>
        <v>21</v>
      </c>
      <c r="D54" s="19" t="n">
        <f aca="false">COORDENADAS!B21</f>
        <v>-10263.117</v>
      </c>
      <c r="E54" s="19" t="n">
        <f aca="false">COORDENADAS!C21</f>
        <v>-2013.119</v>
      </c>
      <c r="F54" s="19" t="n">
        <f aca="false">COORDENADAS!B22</f>
        <v>-7513.1</v>
      </c>
      <c r="G54" s="19" t="n">
        <f aca="false">COORDENADAS!C22</f>
        <v>2750</v>
      </c>
      <c r="H54" s="20" t="n">
        <f aca="false">SQRT((F54-D54)^2+(G54-E54)^2)</f>
        <v>5499.99055530553</v>
      </c>
      <c r="I54" s="21" t="n">
        <f aca="false">ASENTAMIENTOS!E24</f>
        <v>0</v>
      </c>
      <c r="J54" s="21" t="n">
        <f aca="false">ASENTAMIENTOS!E25</f>
        <v>0</v>
      </c>
      <c r="K54" s="22" t="n">
        <f aca="false">ABS(I54-J54)</f>
        <v>0</v>
      </c>
      <c r="L54" s="23" t="n">
        <f aca="false">IF(H54&gt;0,K54/H54,"")</f>
        <v>0</v>
      </c>
      <c r="M54" s="24" t="n">
        <f aca="false">IF($M$2&gt;0,1/$M$2,"")</f>
        <v>0.002</v>
      </c>
      <c r="N54" s="18" t="str">
        <f aca="false">IF(L54="","—",IF(L54&lt;=M54,"✔ OK","✘ EXCEDE"))</f>
        <v>✔ OK</v>
      </c>
    </row>
    <row r="55" customFormat="false" ht="15" hidden="false" customHeight="true" outlineLevel="0" collapsed="false">
      <c r="A55" s="6" t="s">
        <v>171</v>
      </c>
      <c r="B55" s="18" t="str">
        <f aca="false">ASENTAMIENTOS!A25</f>
        <v>21</v>
      </c>
      <c r="C55" s="18" t="str">
        <f aca="false">ASENTAMIENTOS!A26</f>
        <v>22</v>
      </c>
      <c r="D55" s="19" t="n">
        <f aca="false">COORDENADAS!B22</f>
        <v>-7513.1</v>
      </c>
      <c r="E55" s="19" t="n">
        <f aca="false">COORDENADAS!C22</f>
        <v>2750</v>
      </c>
      <c r="F55" s="19" t="n">
        <f aca="false">COORDENADAS!B23</f>
        <v>-2750</v>
      </c>
      <c r="G55" s="19" t="n">
        <f aca="false">COORDENADAS!C23</f>
        <v>5500</v>
      </c>
      <c r="H55" s="20" t="n">
        <f aca="false">SQRT((F55-D55)^2+(G55-E55)^2)</f>
        <v>5499.96560080152</v>
      </c>
      <c r="I55" s="21" t="n">
        <f aca="false">ASENTAMIENTOS!E25</f>
        <v>0</v>
      </c>
      <c r="J55" s="21" t="n">
        <f aca="false">ASENTAMIENTOS!E26</f>
        <v>0</v>
      </c>
      <c r="K55" s="22" t="n">
        <f aca="false">ABS(I55-J55)</f>
        <v>0</v>
      </c>
      <c r="L55" s="23" t="n">
        <f aca="false">IF(H55&gt;0,K55/H55,"")</f>
        <v>0</v>
      </c>
      <c r="M55" s="24" t="n">
        <f aca="false">IF($M$2&gt;0,1/$M$2,"")</f>
        <v>0.002</v>
      </c>
      <c r="N55" s="18" t="str">
        <f aca="false">IF(L55="","—",IF(L55&lt;=M55,"✔ OK","✘ EXCEDE"))</f>
        <v>✔ OK</v>
      </c>
    </row>
    <row r="56" customFormat="false" ht="15" hidden="false" customHeight="true" outlineLevel="0" collapsed="false">
      <c r="A56" s="6" t="s">
        <v>172</v>
      </c>
      <c r="B56" s="18" t="str">
        <f aca="false">ASENTAMIENTOS!A26</f>
        <v>22</v>
      </c>
      <c r="C56" s="18" t="str">
        <f aca="false">ASENTAMIENTOS!A27</f>
        <v>23</v>
      </c>
      <c r="D56" s="19" t="n">
        <f aca="false">COORDENADAS!B23</f>
        <v>-2750</v>
      </c>
      <c r="E56" s="19" t="n">
        <f aca="false">COORDENADAS!C23</f>
        <v>5500</v>
      </c>
      <c r="F56" s="19" t="n">
        <f aca="false">COORDENADAS!B24</f>
        <v>2750</v>
      </c>
      <c r="G56" s="19" t="n">
        <f aca="false">COORDENADAS!C24</f>
        <v>5500</v>
      </c>
      <c r="H56" s="20" t="n">
        <f aca="false">SQRT((F56-D56)^2+(G56-E56)^2)</f>
        <v>5500</v>
      </c>
      <c r="I56" s="21" t="n">
        <f aca="false">ASENTAMIENTOS!E26</f>
        <v>0</v>
      </c>
      <c r="J56" s="21" t="n">
        <f aca="false">ASENTAMIENTOS!E27</f>
        <v>0</v>
      </c>
      <c r="K56" s="22" t="n">
        <f aca="false">ABS(I56-J56)</f>
        <v>0</v>
      </c>
      <c r="L56" s="23" t="n">
        <f aca="false">IF(H56&gt;0,K56/H56,"")</f>
        <v>0</v>
      </c>
      <c r="M56" s="24" t="n">
        <f aca="false">IF($M$2&gt;0,1/$M$2,"")</f>
        <v>0.002</v>
      </c>
      <c r="N56" s="18" t="str">
        <f aca="false">IF(L56="","—",IF(L56&lt;=M56,"✔ OK","✘ EXCEDE"))</f>
        <v>✔ OK</v>
      </c>
    </row>
    <row r="57" customFormat="false" ht="15" hidden="false" customHeight="true" outlineLevel="0" collapsed="false">
      <c r="A57" s="6" t="s">
        <v>173</v>
      </c>
      <c r="B57" s="18" t="str">
        <f aca="false">ASENTAMIENTOS!A27</f>
        <v>23</v>
      </c>
      <c r="C57" s="18" t="str">
        <f aca="false">ASENTAMIENTOS!A28</f>
        <v>24</v>
      </c>
      <c r="D57" s="19" t="n">
        <f aca="false">COORDENADAS!B24</f>
        <v>2750</v>
      </c>
      <c r="E57" s="19" t="n">
        <f aca="false">COORDENADAS!C24</f>
        <v>5500</v>
      </c>
      <c r="F57" s="19" t="n">
        <f aca="false">COORDENADAS!B25</f>
        <v>7513.1</v>
      </c>
      <c r="G57" s="19" t="n">
        <f aca="false">COORDENADAS!C25</f>
        <v>2750</v>
      </c>
      <c r="H57" s="20" t="n">
        <f aca="false">SQRT((F57-D57)^2+(G57-E57)^2)</f>
        <v>5499.96560080152</v>
      </c>
      <c r="I57" s="21" t="n">
        <f aca="false">ASENTAMIENTOS!E27</f>
        <v>0</v>
      </c>
      <c r="J57" s="21" t="n">
        <f aca="false">ASENTAMIENTOS!E28</f>
        <v>0</v>
      </c>
      <c r="K57" s="22" t="n">
        <f aca="false">ABS(I57-J57)</f>
        <v>0</v>
      </c>
      <c r="L57" s="23" t="n">
        <f aca="false">IF(H57&gt;0,K57/H57,"")</f>
        <v>0</v>
      </c>
      <c r="M57" s="24" t="n">
        <f aca="false">IF($M$2&gt;0,1/$M$2,"")</f>
        <v>0.002</v>
      </c>
      <c r="N57" s="18" t="str">
        <f aca="false">IF(L57="","—",IF(L57&lt;=M57,"✔ OK","✘ EXCEDE"))</f>
        <v>✔ OK</v>
      </c>
    </row>
    <row r="58" customFormat="false" ht="15" hidden="false" customHeight="true" outlineLevel="0" collapsed="false">
      <c r="A58" s="6" t="s">
        <v>174</v>
      </c>
      <c r="B58" s="18" t="str">
        <f aca="false">ASENTAMIENTOS!A28</f>
        <v>24</v>
      </c>
      <c r="C58" s="18" t="str">
        <f aca="false">ASENTAMIENTOS!A29</f>
        <v>25</v>
      </c>
      <c r="D58" s="19" t="n">
        <f aca="false">COORDENADAS!B25</f>
        <v>7513.1</v>
      </c>
      <c r="E58" s="19" t="n">
        <f aca="false">COORDENADAS!C25</f>
        <v>2750</v>
      </c>
      <c r="F58" s="19" t="n">
        <f aca="false">COORDENADAS!B26</f>
        <v>10263.117</v>
      </c>
      <c r="G58" s="19" t="n">
        <f aca="false">COORDENADAS!C26</f>
        <v>-2013.119</v>
      </c>
      <c r="H58" s="20" t="n">
        <f aca="false">SQRT((F58-D58)^2+(G58-E58)^2)</f>
        <v>5499.99055530553</v>
      </c>
      <c r="I58" s="21" t="n">
        <f aca="false">ASENTAMIENTOS!E28</f>
        <v>0</v>
      </c>
      <c r="J58" s="21" t="n">
        <f aca="false">ASENTAMIENTOS!E29</f>
        <v>0</v>
      </c>
      <c r="K58" s="22" t="n">
        <f aca="false">ABS(I58-J58)</f>
        <v>0</v>
      </c>
      <c r="L58" s="23" t="n">
        <f aca="false">IF(H58&gt;0,K58/H58,"")</f>
        <v>0</v>
      </c>
      <c r="M58" s="24" t="n">
        <f aca="false">IF($M$2&gt;0,1/$M$2,"")</f>
        <v>0.002</v>
      </c>
      <c r="N58" s="18" t="str">
        <f aca="false">IF(L58="","—",IF(L58&lt;=M58,"✔ OK","✘ EXCEDE"))</f>
        <v>✔ OK</v>
      </c>
    </row>
    <row r="59" customFormat="false" ht="15" hidden="false" customHeight="true" outlineLevel="0" collapsed="false">
      <c r="A59" s="6" t="s">
        <v>175</v>
      </c>
      <c r="B59" s="18" t="str">
        <f aca="false">ASENTAMIENTOS!A29</f>
        <v>25</v>
      </c>
      <c r="C59" s="18" t="str">
        <f aca="false">ASENTAMIENTOS!A30</f>
        <v>26</v>
      </c>
      <c r="D59" s="19" t="n">
        <f aca="false">COORDENADAS!B26</f>
        <v>10263.117</v>
      </c>
      <c r="E59" s="19" t="n">
        <f aca="false">COORDENADAS!C26</f>
        <v>-2013.119</v>
      </c>
      <c r="F59" s="19" t="n">
        <f aca="false">COORDENADAS!B27</f>
        <v>13013.165</v>
      </c>
      <c r="G59" s="19" t="n">
        <f aca="false">COORDENADAS!C27</f>
        <v>-6776.2915</v>
      </c>
      <c r="H59" s="20" t="n">
        <f aca="false">SQRT((F59-D59)^2+(G59-E59)^2)</f>
        <v>5500.05238766507</v>
      </c>
      <c r="I59" s="21" t="n">
        <f aca="false">ASENTAMIENTOS!E29</f>
        <v>0</v>
      </c>
      <c r="J59" s="21" t="n">
        <f aca="false">ASENTAMIENTOS!E30</f>
        <v>0</v>
      </c>
      <c r="K59" s="22" t="n">
        <f aca="false">ABS(I59-J59)</f>
        <v>0</v>
      </c>
      <c r="L59" s="23" t="n">
        <f aca="false">IF(H59&gt;0,K59/H59,"")</f>
        <v>0</v>
      </c>
      <c r="M59" s="24" t="n">
        <f aca="false">IF($M$2&gt;0,1/$M$2,"")</f>
        <v>0.002</v>
      </c>
      <c r="N59" s="18" t="str">
        <f aca="false">IF(L59="","—",IF(L59&lt;=M59,"✔ OK","✘ EXCEDE"))</f>
        <v>✔ OK</v>
      </c>
    </row>
    <row r="60" customFormat="false" ht="15" hidden="false" customHeight="true" outlineLevel="0" collapsed="false">
      <c r="A60" s="6" t="s">
        <v>176</v>
      </c>
      <c r="B60" s="18" t="str">
        <f aca="false">ASENTAMIENTOS!A31</f>
        <v>27</v>
      </c>
      <c r="C60" s="18" t="str">
        <f aca="false">ASENTAMIENTOS!A77</f>
        <v>82</v>
      </c>
      <c r="D60" s="19" t="n">
        <f aca="false">COORDENADAS!B28</f>
        <v>0</v>
      </c>
      <c r="E60" s="19" t="n">
        <f aca="false">COORDENADAS!C28</f>
        <v>-4763.1</v>
      </c>
      <c r="F60" s="19" t="n">
        <f aca="false">COORDENADAS!B29</f>
        <v>-2750</v>
      </c>
      <c r="G60" s="19" t="n">
        <f aca="false">COORDENADAS!C29</f>
        <v>-9526.3</v>
      </c>
      <c r="H60" s="20" t="n">
        <f aca="false">SQRT((F60-D60)^2+(G60-E60)^2)</f>
        <v>5500.05220338862</v>
      </c>
      <c r="I60" s="21" t="n">
        <f aca="false">ASENTAMIENTOS!E31</f>
        <v>0</v>
      </c>
      <c r="J60" s="21" t="n">
        <f aca="false">ASENTAMIENTOS!E77</f>
        <v>0</v>
      </c>
      <c r="K60" s="22" t="n">
        <f aca="false">ABS(I60-J60)</f>
        <v>0</v>
      </c>
      <c r="L60" s="23" t="n">
        <f aca="false">IF(H60&gt;0,K60/H60,"")</f>
        <v>0</v>
      </c>
      <c r="M60" s="24" t="n">
        <f aca="false">IF($M$2&gt;0,1/$M$2,"")</f>
        <v>0.002</v>
      </c>
      <c r="N60" s="18" t="str">
        <f aca="false">IF(L60="","—",IF(L60&lt;=M60,"✔ OK","✘ EXCEDE"))</f>
        <v>✔ OK</v>
      </c>
    </row>
    <row r="61" customFormat="false" ht="15" hidden="false" customHeight="true" outlineLevel="0" collapsed="false">
      <c r="A61" s="6" t="s">
        <v>177</v>
      </c>
      <c r="B61" s="18" t="str">
        <f aca="false">ASENTAMIENTOS!A31</f>
        <v>27</v>
      </c>
      <c r="C61" s="18" t="str">
        <f aca="false">ASENTAMIENTOS!A78</f>
        <v>83</v>
      </c>
      <c r="D61" s="19" t="n">
        <f aca="false">COORDENADAS!B28</f>
        <v>0</v>
      </c>
      <c r="E61" s="19" t="n">
        <f aca="false">COORDENADAS!C28</f>
        <v>-4763.1</v>
      </c>
      <c r="F61" s="19" t="n">
        <f aca="false">COORDENADAS!B30</f>
        <v>2750</v>
      </c>
      <c r="G61" s="19" t="n">
        <f aca="false">COORDENADAS!C30</f>
        <v>-9526.3</v>
      </c>
      <c r="H61" s="20" t="n">
        <f aca="false">SQRT((F61-D61)^2+(G61-E61)^2)</f>
        <v>5500.05220338862</v>
      </c>
      <c r="I61" s="21" t="n">
        <f aca="false">ASENTAMIENTOS!E31</f>
        <v>0</v>
      </c>
      <c r="J61" s="21" t="n">
        <f aca="false">ASENTAMIENTOS!E78</f>
        <v>0</v>
      </c>
      <c r="K61" s="22" t="n">
        <f aca="false">ABS(I61-J61)</f>
        <v>0</v>
      </c>
      <c r="L61" s="23" t="n">
        <f aca="false">IF(H61&gt;0,K61/H61,"")</f>
        <v>0</v>
      </c>
      <c r="M61" s="24" t="n">
        <f aca="false">IF($M$2&gt;0,1/$M$2,"")</f>
        <v>0.002</v>
      </c>
      <c r="N61" s="18" t="str">
        <f aca="false">IF(L61="","—",IF(L61&lt;=M61,"✔ OK","✘ EXCEDE"))</f>
        <v>✔ OK</v>
      </c>
    </row>
    <row r="62" customFormat="false" ht="15" hidden="false" customHeight="true" outlineLevel="0" collapsed="false">
      <c r="A62" s="6" t="s">
        <v>178</v>
      </c>
      <c r="B62" s="18" t="str">
        <f aca="false">ASENTAMIENTOS!A77</f>
        <v>82</v>
      </c>
      <c r="C62" s="18" t="str">
        <f aca="false">ASENTAMIENTOS!A78</f>
        <v>83</v>
      </c>
      <c r="D62" s="19" t="n">
        <f aca="false">COORDENADAS!B29</f>
        <v>-2750</v>
      </c>
      <c r="E62" s="19" t="n">
        <f aca="false">COORDENADAS!C29</f>
        <v>-9526.3</v>
      </c>
      <c r="F62" s="19" t="n">
        <f aca="false">COORDENADAS!B30</f>
        <v>2750</v>
      </c>
      <c r="G62" s="19" t="n">
        <f aca="false">COORDENADAS!C30</f>
        <v>-9526.3</v>
      </c>
      <c r="H62" s="20" t="n">
        <f aca="false">SQRT((F62-D62)^2+(G62-E62)^2)</f>
        <v>5500</v>
      </c>
      <c r="I62" s="21" t="n">
        <f aca="false">ASENTAMIENTOS!E77</f>
        <v>0</v>
      </c>
      <c r="J62" s="21" t="n">
        <f aca="false">ASENTAMIENTOS!E78</f>
        <v>0</v>
      </c>
      <c r="K62" s="22" t="n">
        <f aca="false">ABS(I62-J62)</f>
        <v>0</v>
      </c>
      <c r="L62" s="23" t="n">
        <f aca="false">IF(H62&gt;0,K62/H62,"")</f>
        <v>0</v>
      </c>
      <c r="M62" s="24" t="n">
        <f aca="false">IF($M$2&gt;0,1/$M$2,"")</f>
        <v>0.002</v>
      </c>
      <c r="N62" s="18" t="str">
        <f aca="false">IF(L62="","—",IF(L62&lt;=M62,"✔ OK","✘ EXCEDE"))</f>
        <v>✔ OK</v>
      </c>
    </row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</sheetData>
  <mergeCells count="3">
    <mergeCell ref="A1:J1"/>
    <mergeCell ref="A2:J2"/>
    <mergeCell ref="L3:M3"/>
  </mergeCells>
  <conditionalFormatting sqref="J5:J104">
    <cfRule type="cellIs" priority="2" operator="equal" aboveAverage="0" equalAverage="0" bottom="0" percent="0" rank="0" text="" dxfId="0">
      <formula>"✔ OK"</formula>
    </cfRule>
    <cfRule type="cellIs" priority="3" operator="equal" aboveAverage="0" equalAverage="0" bottom="0" percent="0" rank="0" text="" dxfId="1">
      <formula>"✘ EXCEDE"</formula>
    </cfRule>
  </conditionalFormatting>
  <conditionalFormatting sqref="J5:J62">
    <cfRule type="cellIs" priority="4" operator="equal" aboveAverage="0" equalAverage="0" bottom="0" percent="0" rank="0" text="" dxfId="0">
      <formula>"✔ OK"</formula>
    </cfRule>
    <cfRule type="cellIs" priority="5" operator="equal" aboveAverage="0" equalAverage="0" bottom="0" percent="0" rank="0" text="" dxfId="1">
      <formula>"✘ EXCEDE"</formula>
    </cfRule>
  </conditionalFormatting>
  <conditionalFormatting sqref="N5:N62">
    <cfRule type="cellIs" priority="6" operator="equal" aboveAverage="0" equalAverage="0" bottom="0" percent="0" rank="0" text="" dxfId="2">
      <formula>"✔ OK"</formula>
    </cfRule>
    <cfRule type="cellIs" priority="7" operator="equal" aboveAverage="0" equalAverage="0" bottom="0" percent="0" rank="0" text="" dxfId="3">
      <formula>"✘ EXCEDE"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30" hidden="false" customHeight="true" outlineLevel="0" collapsed="false">
      <c r="A1" s="2" t="s">
        <v>179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180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42" hidden="false" customHeight="true" outlineLevel="0" collapsed="false">
      <c r="A4" s="4" t="s">
        <v>181</v>
      </c>
      <c r="B4" s="4" t="s">
        <v>6</v>
      </c>
      <c r="C4" s="4" t="s">
        <v>182</v>
      </c>
      <c r="D4" s="5" t="s">
        <v>183</v>
      </c>
      <c r="E4" s="4" t="s">
        <v>184</v>
      </c>
      <c r="F4" s="5" t="s">
        <v>185</v>
      </c>
      <c r="G4" s="4" t="s">
        <v>120</v>
      </c>
    </row>
    <row r="5" customFormat="false" ht="15" hidden="false" customHeight="true" outlineLevel="0" collapsed="false">
      <c r="A5" s="6" t="s">
        <v>8</v>
      </c>
      <c r="B5" s="9" t="n">
        <f aca="false">ASENTAMIENTOS!E5</f>
        <v>0</v>
      </c>
      <c r="C5" s="18" t="n">
        <v>3</v>
      </c>
      <c r="D5" s="22" t="n">
        <f aca="false">MAX(DIFERENCIALES!K5,DIFERENCIALES!K7,DIFERENCIALES!K6)</f>
        <v>0</v>
      </c>
      <c r="E5" s="18" t="str">
        <f aca="false">IFERROR(IF(DIFERENCIALES!K5=MAX(DIFERENCIALES!K5,DIFERENCIALES!K7,DIFERENCIALES!K6),"3",IF(DIFERENCIALES!K7=MAX(DIFERENCIALES!K5,DIFERENCIALES!K7,DIFERENCIALES!K6),"19","6")),"—")</f>
        <v>3</v>
      </c>
      <c r="F5" s="23" t="n">
        <f aca="false">IFERROR(MAX(DIFERENCIALES!L5,DIFERENCIALES!L7,DIFERENCIALES!L6),"")</f>
        <v>0</v>
      </c>
      <c r="G5" s="18" t="str">
        <f aca="false">IF(F5="","—",IF(F5&lt;=1/DIFERENCIALES!$M$2,"✔ OK","✘ EXCEDE"))</f>
        <v>✔ OK</v>
      </c>
    </row>
    <row r="6" customFormat="false" ht="15" hidden="false" customHeight="true" outlineLevel="0" collapsed="false">
      <c r="A6" s="6" t="s">
        <v>9</v>
      </c>
      <c r="B6" s="9" t="n">
        <f aca="false">ASENTAMIENTOS!E6</f>
        <v>0</v>
      </c>
      <c r="C6" s="18" t="n">
        <v>3</v>
      </c>
      <c r="D6" s="22" t="n">
        <f aca="false">MAX(DIFERENCIALES!K8,DIFERENCIALES!K10,DIFERENCIALES!K9)</f>
        <v>0</v>
      </c>
      <c r="E6" s="18" t="str">
        <f aca="false">IFERROR(IF(DIFERENCIALES!K8=MAX(DIFERENCIALES!K8,DIFERENCIALES!K10,DIFERENCIALES!K9),"11",IF(DIFERENCIALES!K10=MAX(DIFERENCIALES!K8,DIFERENCIALES!K10,DIFERENCIALES!K9),"26","12")),"—")</f>
        <v>11</v>
      </c>
      <c r="F6" s="23" t="n">
        <f aca="false">IFERROR(MAX(DIFERENCIALES!L8,DIFERENCIALES!L10,DIFERENCIALES!L9),"")</f>
        <v>0</v>
      </c>
      <c r="G6" s="18" t="str">
        <f aca="false">IF(F6="","—",IF(F6&lt;=1/DIFERENCIALES!$M$2,"✔ OK","✘ EXCEDE"))</f>
        <v>✔ OK</v>
      </c>
    </row>
    <row r="7" customFormat="false" ht="15" hidden="false" customHeight="true" outlineLevel="0" collapsed="false">
      <c r="A7" s="6" t="s">
        <v>10</v>
      </c>
      <c r="B7" s="9" t="n">
        <f aca="false">ASENTAMIENTOS!E7</f>
        <v>0</v>
      </c>
      <c r="C7" s="18" t="n">
        <v>3</v>
      </c>
      <c r="D7" s="22" t="n">
        <f aca="false">MAX(DIFERENCIALES!K5,DIFERENCIALES!K12,DIFERENCIALES!K11)</f>
        <v>0</v>
      </c>
      <c r="E7" s="18" t="str">
        <f aca="false">IFERROR(IF(DIFERENCIALES!K5=MAX(DIFERENCIALES!K5,DIFERENCIALES!K12,DIFERENCIALES!K11),"1",IF(DIFERENCIALES!K12=MAX(DIFERENCIALES!K5,DIFERENCIALES!K12,DIFERENCIALES!K11),"19","4")),"—")</f>
        <v>1</v>
      </c>
      <c r="F7" s="23" t="n">
        <f aca="false">IFERROR(MAX(DIFERENCIALES!L5,DIFERENCIALES!L12,DIFERENCIALES!L11),"")</f>
        <v>0</v>
      </c>
      <c r="G7" s="18" t="str">
        <f aca="false">IF(F7="","—",IF(F7&lt;=1/DIFERENCIALES!$M$2,"✔ OK","✘ EXCEDE"))</f>
        <v>✔ OK</v>
      </c>
    </row>
    <row r="8" customFormat="false" ht="15" hidden="false" customHeight="true" outlineLevel="0" collapsed="false">
      <c r="A8" s="6" t="s">
        <v>11</v>
      </c>
      <c r="B8" s="9" t="n">
        <f aca="false">ASENTAMIENTOS!E8</f>
        <v>0</v>
      </c>
      <c r="C8" s="18" t="n">
        <v>3</v>
      </c>
      <c r="D8" s="22" t="n">
        <f aca="false">MAX(DIFERENCIALES!K11,DIFERENCIALES!K13,DIFERENCIALES!K14)</f>
        <v>0</v>
      </c>
      <c r="E8" s="18" t="str">
        <f aca="false">IFERROR(IF(DIFERENCIALES!K11=MAX(DIFERENCIALES!K11,DIFERENCIALES!K13,DIFERENCIALES!K14),"3",IF(DIFERENCIALES!K13=MAX(DIFERENCIALES!K11,DIFERENCIALES!K13,DIFERENCIALES!K14),"5","20")),"—")</f>
        <v>3</v>
      </c>
      <c r="F8" s="23" t="n">
        <f aca="false">IFERROR(MAX(DIFERENCIALES!L11,DIFERENCIALES!L13,DIFERENCIALES!L14),"")</f>
        <v>0</v>
      </c>
      <c r="G8" s="18" t="str">
        <f aca="false">IF(F8="","—",IF(F8&lt;=1/DIFERENCIALES!$M$2,"✔ OK","✘ EXCEDE"))</f>
        <v>✔ OK</v>
      </c>
    </row>
    <row r="9" customFormat="false" ht="15" hidden="false" customHeight="true" outlineLevel="0" collapsed="false">
      <c r="A9" s="6" t="s">
        <v>12</v>
      </c>
      <c r="B9" s="9" t="n">
        <f aca="false">ASENTAMIENTOS!E9</f>
        <v>0</v>
      </c>
      <c r="C9" s="18" t="n">
        <v>3</v>
      </c>
      <c r="D9" s="22" t="n">
        <f aca="false">MAX(DIFERENCIALES!K13,DIFERENCIALES!K16,DIFERENCIALES!K15)</f>
        <v>0</v>
      </c>
      <c r="E9" s="18" t="str">
        <f aca="false">IFERROR(IF(DIFERENCIALES!K13=MAX(DIFERENCIALES!K13,DIFERENCIALES!K16,DIFERENCIALES!K15),"4",IF(DIFERENCIALES!K16=MAX(DIFERENCIALES!K13,DIFERENCIALES!K16,DIFERENCIALES!K15),"21","17")),"—")</f>
        <v>4</v>
      </c>
      <c r="F9" s="23" t="n">
        <f aca="false">IFERROR(MAX(DIFERENCIALES!L13,DIFERENCIALES!L16,DIFERENCIALES!L15),"")</f>
        <v>0</v>
      </c>
      <c r="G9" s="18" t="str">
        <f aca="false">IF(F9="","—",IF(F9&lt;=1/DIFERENCIALES!$M$2,"✔ OK","✘ EXCEDE"))</f>
        <v>✔ OK</v>
      </c>
    </row>
    <row r="10" customFormat="false" ht="15" hidden="false" customHeight="true" outlineLevel="0" collapsed="false">
      <c r="A10" s="6" t="s">
        <v>13</v>
      </c>
      <c r="B10" s="9" t="n">
        <f aca="false">ASENTAMIENTOS!E10</f>
        <v>0</v>
      </c>
      <c r="C10" s="18" t="n">
        <v>3</v>
      </c>
      <c r="D10" s="22" t="n">
        <f aca="false">MAX(DIFERENCIALES!K6,DIFERENCIALES!K18,DIFERENCIALES!K17)</f>
        <v>0</v>
      </c>
      <c r="E10" s="18" t="str">
        <f aca="false">IFERROR(IF(DIFERENCIALES!K6=MAX(DIFERENCIALES!K6,DIFERENCIALES!K18,DIFERENCIALES!K17),"1",IF(DIFERENCIALES!K18=MAX(DIFERENCIALES!K6,DIFERENCIALES!K18,DIFERENCIALES!K17),"19","7")),"—")</f>
        <v>1</v>
      </c>
      <c r="F10" s="23" t="n">
        <f aca="false">IFERROR(MAX(DIFERENCIALES!L6,DIFERENCIALES!L18,DIFERENCIALES!L17),"")</f>
        <v>0</v>
      </c>
      <c r="G10" s="18" t="str">
        <f aca="false">IF(F10="","—",IF(F10&lt;=1/DIFERENCIALES!$M$2,"✔ OK","✘ EXCEDE"))</f>
        <v>✔ OK</v>
      </c>
    </row>
    <row r="11" customFormat="false" ht="15" hidden="false" customHeight="true" outlineLevel="0" collapsed="false">
      <c r="A11" s="6" t="s">
        <v>14</v>
      </c>
      <c r="B11" s="9" t="n">
        <f aca="false">ASENTAMIENTOS!E11</f>
        <v>0</v>
      </c>
      <c r="C11" s="18" t="n">
        <v>3</v>
      </c>
      <c r="D11" s="22" t="n">
        <f aca="false">MAX(DIFERENCIALES!K17,DIFERENCIALES!K21,DIFERENCIALES!K20)</f>
        <v>0</v>
      </c>
      <c r="E11" s="18" t="str">
        <f aca="false">IFERROR(IF(DIFERENCIALES!K17=MAX(DIFERENCIALES!K17,DIFERENCIALES!K21,DIFERENCIALES!K20),"6",IF(DIFERENCIALES!K21=MAX(DIFERENCIALES!K17,DIFERENCIALES!K21,DIFERENCIALES!K20),"20","8")),"—")</f>
        <v>6</v>
      </c>
      <c r="F11" s="23" t="n">
        <f aca="false">IFERROR(MAX(DIFERENCIALES!L17,DIFERENCIALES!L21,DIFERENCIALES!L20),"")</f>
        <v>0</v>
      </c>
      <c r="G11" s="18" t="str">
        <f aca="false">IF(F11="","—",IF(F11&lt;=1/DIFERENCIALES!$M$2,"✔ OK","✘ EXCEDE"))</f>
        <v>✔ OK</v>
      </c>
    </row>
    <row r="12" customFormat="false" ht="15" hidden="false" customHeight="true" outlineLevel="0" collapsed="false">
      <c r="A12" s="6" t="s">
        <v>15</v>
      </c>
      <c r="B12" s="9" t="n">
        <f aca="false">ASENTAMIENTOS!E12</f>
        <v>0</v>
      </c>
      <c r="C12" s="18" t="n">
        <v>4</v>
      </c>
      <c r="D12" s="22" t="n">
        <f aca="false">MAX(DIFERENCIALES!K20,DIFERENCIALES!K25,DIFERENCIALES!K26,DIFERENCIALES!K24)</f>
        <v>0</v>
      </c>
      <c r="E12" s="18" t="str">
        <f aca="false">IFERROR(IF(DIFERENCIALES!K20=MAX(DIFERENCIALES!K20,DIFERENCIALES!K25,DIFERENCIALES!K26,DIFERENCIALES!K24),"7",IF(DIFERENCIALES!K25=MAX(DIFERENCIALES!K20,DIFERENCIALES!K25,DIFERENCIALES!K26,DIFERENCIALES!K24),"21",IF(DIFERENCIALES!K26=MAX(DIFERENCIALES!K20,DIFERENCIALES!K25,DIFERENCIALES!K26,DIFERENCIALES!K24),"22","9"))),"—")</f>
        <v>7</v>
      </c>
      <c r="F12" s="23" t="n">
        <f aca="false">IFERROR(MAX(DIFERENCIALES!L20,DIFERENCIALES!L25,DIFERENCIALES!L26,DIFERENCIALES!L24),"")</f>
        <v>0</v>
      </c>
      <c r="G12" s="18" t="str">
        <f aca="false">IF(F12="","—",IF(F12&lt;=1/DIFERENCIALES!$M$2,"✔ OK","✘ EXCEDE"))</f>
        <v>✔ OK</v>
      </c>
    </row>
    <row r="13" customFormat="false" ht="15" hidden="false" customHeight="true" outlineLevel="0" collapsed="false">
      <c r="A13" s="6" t="s">
        <v>16</v>
      </c>
      <c r="B13" s="9" t="n">
        <f aca="false">ASENTAMIENTOS!E13</f>
        <v>0</v>
      </c>
      <c r="C13" s="18" t="n">
        <v>4</v>
      </c>
      <c r="D13" s="22" t="n">
        <f aca="false">MAX(DIFERENCIALES!K24,DIFERENCIALES!K29,DIFERENCIALES!K30,DIFERENCIALES!K28)</f>
        <v>0</v>
      </c>
      <c r="E13" s="18" t="str">
        <f aca="false">IFERROR(IF(DIFERENCIALES!K24=MAX(DIFERENCIALES!K24,DIFERENCIALES!K29,DIFERENCIALES!K30,DIFERENCIALES!K28),"8",IF(DIFERENCIALES!K29=MAX(DIFERENCIALES!K24,DIFERENCIALES!K29,DIFERENCIALES!K30,DIFERENCIALES!K28),"23",IF(DIFERENCIALES!K30=MAX(DIFERENCIALES!K24,DIFERENCIALES!K29,DIFERENCIALES!K30,DIFERENCIALES!K28),"24","10"))),"—")</f>
        <v>8</v>
      </c>
      <c r="F13" s="23" t="n">
        <f aca="false">IFERROR(MAX(DIFERENCIALES!L24,DIFERENCIALES!L29,DIFERENCIALES!L30,DIFERENCIALES!L28),"")</f>
        <v>0</v>
      </c>
      <c r="G13" s="18" t="str">
        <f aca="false">IF(F13="","—",IF(F13&lt;=1/DIFERENCIALES!$M$2,"✔ OK","✘ EXCEDE"))</f>
        <v>✔ OK</v>
      </c>
    </row>
    <row r="14" customFormat="false" ht="15" hidden="false" customHeight="true" outlineLevel="0" collapsed="false">
      <c r="A14" s="6" t="s">
        <v>17</v>
      </c>
      <c r="B14" s="9" t="n">
        <f aca="false">ASENTAMIENTOS!E14</f>
        <v>0</v>
      </c>
      <c r="C14" s="18" t="n">
        <v>3</v>
      </c>
      <c r="D14" s="22" t="n">
        <f aca="false">MAX(DIFERENCIALES!K28,DIFERENCIALES!K33,DIFERENCIALES!K32)</f>
        <v>0</v>
      </c>
      <c r="E14" s="18" t="str">
        <f aca="false">IFERROR(IF(DIFERENCIALES!K28=MAX(DIFERENCIALES!K28,DIFERENCIALES!K33,DIFERENCIALES!K32),"9",IF(DIFERENCIALES!K33=MAX(DIFERENCIALES!K28,DIFERENCIALES!K33,DIFERENCIALES!K32),"25","11")),"—")</f>
        <v>9</v>
      </c>
      <c r="F14" s="23" t="n">
        <f aca="false">IFERROR(MAX(DIFERENCIALES!L28,DIFERENCIALES!L33,DIFERENCIALES!L32),"")</f>
        <v>0</v>
      </c>
      <c r="G14" s="18" t="str">
        <f aca="false">IF(F14="","—",IF(F14&lt;=1/DIFERENCIALES!$M$2,"✔ OK","✘ EXCEDE"))</f>
        <v>✔ OK</v>
      </c>
    </row>
    <row r="15" customFormat="false" ht="15" hidden="false" customHeight="true" outlineLevel="0" collapsed="false">
      <c r="A15" s="6" t="s">
        <v>18</v>
      </c>
      <c r="B15" s="9" t="n">
        <f aca="false">ASENTAMIENTOS!E15</f>
        <v>0</v>
      </c>
      <c r="C15" s="18" t="n">
        <v>3</v>
      </c>
      <c r="D15" s="22" t="n">
        <f aca="false">MAX(DIFERENCIALES!K32,DIFERENCIALES!K36,DIFERENCIALES!K8)</f>
        <v>0</v>
      </c>
      <c r="E15" s="18" t="str">
        <f aca="false">IFERROR(IF(DIFERENCIALES!K32=MAX(DIFERENCIALES!K32,DIFERENCIALES!K36,DIFERENCIALES!K8),"10",IF(DIFERENCIALES!K36=MAX(DIFERENCIALES!K32,DIFERENCIALES!K36,DIFERENCIALES!K8),"26","2")),"—")</f>
        <v>10</v>
      </c>
      <c r="F15" s="23" t="n">
        <f aca="false">IFERROR(MAX(DIFERENCIALES!L32,DIFERENCIALES!L36,DIFERENCIALES!L8),"")</f>
        <v>0</v>
      </c>
      <c r="G15" s="18" t="str">
        <f aca="false">IF(F15="","—",IF(F15&lt;=1/DIFERENCIALES!$M$2,"✔ OK","✘ EXCEDE"))</f>
        <v>✔ OK</v>
      </c>
    </row>
    <row r="16" customFormat="false" ht="15" hidden="false" customHeight="true" outlineLevel="0" collapsed="false">
      <c r="A16" s="6" t="s">
        <v>19</v>
      </c>
      <c r="B16" s="9" t="n">
        <f aca="false">ASENTAMIENTOS!E16</f>
        <v>0</v>
      </c>
      <c r="C16" s="18" t="n">
        <v>3</v>
      </c>
      <c r="D16" s="22" t="n">
        <f aca="false">MAX(DIFERENCIALES!K39,DIFERENCIALES!K38,DIFERENCIALES!K9)</f>
        <v>0</v>
      </c>
      <c r="E16" s="18" t="str">
        <f aca="false">IFERROR(IF(DIFERENCIALES!K39=MAX(DIFERENCIALES!K39,DIFERENCIALES!K38,DIFERENCIALES!K9),"26",IF(DIFERENCIALES!K38=MAX(DIFERENCIALES!K39,DIFERENCIALES!K38,DIFERENCIALES!K9),"13","2")),"—")</f>
        <v>26</v>
      </c>
      <c r="F16" s="23" t="n">
        <f aca="false">IFERROR(MAX(DIFERENCIALES!L39,DIFERENCIALES!L38,DIFERENCIALES!L9),"")</f>
        <v>0</v>
      </c>
      <c r="G16" s="18" t="str">
        <f aca="false">IF(F16="","—",IF(F16&lt;=1/DIFERENCIALES!$M$2,"✔ OK","✘ EXCEDE"))</f>
        <v>✔ OK</v>
      </c>
    </row>
    <row r="17" customFormat="false" ht="15" hidden="false" customHeight="true" outlineLevel="0" collapsed="false">
      <c r="A17" s="6" t="s">
        <v>20</v>
      </c>
      <c r="B17" s="9" t="n">
        <f aca="false">ASENTAMIENTOS!E17</f>
        <v>0</v>
      </c>
      <c r="C17" s="18" t="n">
        <v>3</v>
      </c>
      <c r="D17" s="22" t="n">
        <f aca="false">MAX(DIFERENCIALES!K40,DIFERENCIALES!K41,DIFERENCIALES!K38)</f>
        <v>0</v>
      </c>
      <c r="E17" s="18" t="str">
        <f aca="false">IFERROR(IF(DIFERENCIALES!K40=MAX(DIFERENCIALES!K40,DIFERENCIALES!K41,DIFERENCIALES!K38),"14",IF(DIFERENCIALES!K41=MAX(DIFERENCIALES!K40,DIFERENCIALES!K41,DIFERENCIALES!K38),"25","12")),"—")</f>
        <v>14</v>
      </c>
      <c r="F17" s="23" t="n">
        <f aca="false">IFERROR(MAX(DIFERENCIALES!L40,DIFERENCIALES!L41,DIFERENCIALES!L38),"")</f>
        <v>0</v>
      </c>
      <c r="G17" s="18" t="str">
        <f aca="false">IF(F17="","—",IF(F17&lt;=1/DIFERENCIALES!$M$2,"✔ OK","✘ EXCEDE"))</f>
        <v>✔ OK</v>
      </c>
    </row>
    <row r="18" customFormat="false" ht="15" hidden="false" customHeight="true" outlineLevel="0" collapsed="false">
      <c r="A18" s="6" t="s">
        <v>21</v>
      </c>
      <c r="B18" s="9" t="n">
        <f aca="false">ASENTAMIENTOS!E18</f>
        <v>0</v>
      </c>
      <c r="C18" s="18" t="n">
        <v>3</v>
      </c>
      <c r="D18" s="22" t="n">
        <f aca="false">MAX(DIFERENCIALES!K42,DIFERENCIALES!K43,DIFERENCIALES!K40)</f>
        <v>0</v>
      </c>
      <c r="E18" s="18" t="str">
        <f aca="false">IFERROR(IF(DIFERENCIALES!K42=MAX(DIFERENCIALES!K42,DIFERENCIALES!K43,DIFERENCIALES!K40),"18",IF(DIFERENCIALES!K43=MAX(DIFERENCIALES!K42,DIFERENCIALES!K43,DIFERENCIALES!K40),"24","13")),"—")</f>
        <v>18</v>
      </c>
      <c r="F18" s="23" t="n">
        <f aca="false">IFERROR(MAX(DIFERENCIALES!L42,DIFERENCIALES!L43,DIFERENCIALES!L40),"")</f>
        <v>0</v>
      </c>
      <c r="G18" s="18" t="str">
        <f aca="false">IF(F18="","—",IF(F18&lt;=1/DIFERENCIALES!$M$2,"✔ OK","✘ EXCEDE"))</f>
        <v>✔ OK</v>
      </c>
    </row>
    <row r="19" customFormat="false" ht="15" hidden="false" customHeight="true" outlineLevel="0" collapsed="false">
      <c r="A19" s="6" t="s">
        <v>22</v>
      </c>
      <c r="B19" s="9" t="n">
        <f aca="false">ASENTAMIENTOS!E19</f>
        <v>0</v>
      </c>
      <c r="C19" s="18" t="n">
        <v>3</v>
      </c>
      <c r="D19" s="22" t="n">
        <f aca="false">MAX(DIFERENCIALES!K44,DIFERENCIALES!K46,DIFERENCIALES!K45)</f>
        <v>0</v>
      </c>
      <c r="E19" s="18" t="str">
        <f aca="false">IFERROR(IF(DIFERENCIALES!K44=MAX(DIFERENCIALES!K44,DIFERENCIALES!K46,DIFERENCIALES!K45),"16",IF(DIFERENCIALES!K46=MAX(DIFERENCIALES!K44,DIFERENCIALES!K46,DIFERENCIALES!K45),"23","18")),"—")</f>
        <v>16</v>
      </c>
      <c r="F19" s="23" t="n">
        <f aca="false">IFERROR(MAX(DIFERENCIALES!L44,DIFERENCIALES!L46,DIFERENCIALES!L45),"")</f>
        <v>0</v>
      </c>
      <c r="G19" s="18" t="str">
        <f aca="false">IF(F19="","—",IF(F19&lt;=1/DIFERENCIALES!$M$2,"✔ OK","✘ EXCEDE"))</f>
        <v>✔ OK</v>
      </c>
    </row>
    <row r="20" customFormat="false" ht="15" hidden="false" customHeight="true" outlineLevel="0" collapsed="false">
      <c r="A20" s="6" t="s">
        <v>23</v>
      </c>
      <c r="B20" s="9" t="n">
        <f aca="false">ASENTAMIENTOS!E20</f>
        <v>0</v>
      </c>
      <c r="C20" s="18" t="n">
        <v>3</v>
      </c>
      <c r="D20" s="22" t="n">
        <f aca="false">MAX(DIFERENCIALES!K47,DIFERENCIALES!K48,DIFERENCIALES!K44)</f>
        <v>0</v>
      </c>
      <c r="E20" s="18" t="str">
        <f aca="false">IFERROR(IF(DIFERENCIALES!K47=MAX(DIFERENCIALES!K47,DIFERENCIALES!K48,DIFERENCIALES!K44),"17",IF(DIFERENCIALES!K48=MAX(DIFERENCIALES!K47,DIFERENCIALES!K48,DIFERENCIALES!K44),"22","15")),"—")</f>
        <v>17</v>
      </c>
      <c r="F20" s="23" t="n">
        <f aca="false">IFERROR(MAX(DIFERENCIALES!L47,DIFERENCIALES!L48,DIFERENCIALES!L44),"")</f>
        <v>0</v>
      </c>
      <c r="G20" s="18" t="str">
        <f aca="false">IF(F20="","—",IF(F20&lt;=1/DIFERENCIALES!$M$2,"✔ OK","✘ EXCEDE"))</f>
        <v>✔ OK</v>
      </c>
    </row>
    <row r="21" customFormat="false" ht="15" hidden="false" customHeight="true" outlineLevel="0" collapsed="false">
      <c r="A21" s="6" t="s">
        <v>24</v>
      </c>
      <c r="B21" s="9" t="n">
        <f aca="false">ASENTAMIENTOS!E21</f>
        <v>0</v>
      </c>
      <c r="C21" s="18" t="n">
        <v>4</v>
      </c>
      <c r="D21" s="22" t="n">
        <f aca="false">MAX(DIFERENCIALES!K15,DIFERENCIALES!K49,DIFERENCIALES!K50,DIFERENCIALES!K47)</f>
        <v>0</v>
      </c>
      <c r="E21" s="18" t="str">
        <f aca="false">IFERROR(IF(DIFERENCIALES!K15=MAX(DIFERENCIALES!K15,DIFERENCIALES!K49,DIFERENCIALES!K50,DIFERENCIALES!K47),"5",IF(DIFERENCIALES!K49=MAX(DIFERENCIALES!K15,DIFERENCIALES!K49,DIFERENCIALES!K50,DIFERENCIALES!K47),"21",IF(DIFERENCIALES!K50=MAX(DIFERENCIALES!K15,DIFERENCIALES!K49,DIFERENCIALES!K50,DIFERENCIALES!K47),"22","16"))),"—")</f>
        <v>5</v>
      </c>
      <c r="F21" s="23" t="n">
        <f aca="false">IFERROR(MAX(DIFERENCIALES!L15,DIFERENCIALES!L49,DIFERENCIALES!L50,DIFERENCIALES!L47),"")</f>
        <v>0</v>
      </c>
      <c r="G21" s="18" t="str">
        <f aca="false">IF(F21="","—",IF(F21&lt;=1/DIFERENCIALES!$M$2,"✔ OK","✘ EXCEDE"))</f>
        <v>✔ OK</v>
      </c>
    </row>
    <row r="22" customFormat="false" ht="15" hidden="false" customHeight="true" outlineLevel="0" collapsed="false">
      <c r="A22" s="6" t="s">
        <v>25</v>
      </c>
      <c r="B22" s="9" t="n">
        <f aca="false">ASENTAMIENTOS!E22</f>
        <v>0</v>
      </c>
      <c r="C22" s="18" t="n">
        <v>4</v>
      </c>
      <c r="D22" s="22" t="n">
        <f aca="false">MAX(DIFERENCIALES!K45,DIFERENCIALES!K51,DIFERENCIALES!K52,DIFERENCIALES!K42)</f>
        <v>0</v>
      </c>
      <c r="E22" s="18" t="str">
        <f aca="false">IFERROR(IF(DIFERENCIALES!K45=MAX(DIFERENCIALES!K45,DIFERENCIALES!K51,DIFERENCIALES!K52,DIFERENCIALES!K42),"15",IF(DIFERENCIALES!K51=MAX(DIFERENCIALES!K45,DIFERENCIALES!K51,DIFERENCIALES!K52,DIFERENCIALES!K42),"23",IF(DIFERENCIALES!K52=MAX(DIFERENCIALES!K45,DIFERENCIALES!K51,DIFERENCIALES!K52,DIFERENCIALES!K42),"24","14"))),"—")</f>
        <v>15</v>
      </c>
      <c r="F22" s="23" t="n">
        <f aca="false">IFERROR(MAX(DIFERENCIALES!L45,DIFERENCIALES!L51,DIFERENCIALES!L52,DIFERENCIALES!L42),"")</f>
        <v>0</v>
      </c>
      <c r="G22" s="18" t="str">
        <f aca="false">IF(F22="","—",IF(F22&lt;=1/DIFERENCIALES!$M$2,"✔ OK","✘ EXCEDE"))</f>
        <v>✔ OK</v>
      </c>
    </row>
    <row r="23" customFormat="false" ht="15" hidden="false" customHeight="true" outlineLevel="0" collapsed="false">
      <c r="A23" s="6" t="s">
        <v>26</v>
      </c>
      <c r="B23" s="9" t="n">
        <f aca="false">ASENTAMIENTOS!E23</f>
        <v>0</v>
      </c>
      <c r="C23" s="18" t="n">
        <v>4</v>
      </c>
      <c r="D23" s="22" t="n">
        <f aca="false">MAX(DIFERENCIALES!K7,DIFERENCIALES!K12,DIFERENCIALES!K18,DIFERENCIALES!K53)</f>
        <v>0</v>
      </c>
      <c r="E23" s="18" t="str">
        <f aca="false">IFERROR(IF(DIFERENCIALES!K7=MAX(DIFERENCIALES!K7,DIFERENCIALES!K12,DIFERENCIALES!K18,DIFERENCIALES!K53),"1",IF(DIFERENCIALES!K12=MAX(DIFERENCIALES!K7,DIFERENCIALES!K12,DIFERENCIALES!K18,DIFERENCIALES!K53),"3",IF(DIFERENCIALES!K18=MAX(DIFERENCIALES!K7,DIFERENCIALES!K12,DIFERENCIALES!K18,DIFERENCIALES!K53),"6","20"))),"—")</f>
        <v>1</v>
      </c>
      <c r="F23" s="23" t="n">
        <f aca="false">IFERROR(MAX(DIFERENCIALES!L7,DIFERENCIALES!L12,DIFERENCIALES!L18,DIFERENCIALES!L53),"")</f>
        <v>0</v>
      </c>
      <c r="G23" s="18" t="str">
        <f aca="false">IF(F23="","—",IF(F23&lt;=1/DIFERENCIALES!$M$2,"✔ OK","✘ EXCEDE"))</f>
        <v>✔ OK</v>
      </c>
    </row>
    <row r="24" customFormat="false" ht="15" hidden="false" customHeight="true" outlineLevel="0" collapsed="false">
      <c r="A24" s="6" t="s">
        <v>27</v>
      </c>
      <c r="B24" s="9" t="n">
        <f aca="false">ASENTAMIENTOS!E24</f>
        <v>0</v>
      </c>
      <c r="C24" s="18" t="n">
        <v>4</v>
      </c>
      <c r="D24" s="22" t="n">
        <f aca="false">MAX(DIFERENCIALES!K53,DIFERENCIALES!K14,DIFERENCIALES!K54,DIFERENCIALES!K21)</f>
        <v>0</v>
      </c>
      <c r="E24" s="18" t="str">
        <f aca="false">IFERROR(IF(DIFERENCIALES!K53=MAX(DIFERENCIALES!K53,DIFERENCIALES!K14,DIFERENCIALES!K54,DIFERENCIALES!K21),"19",IF(DIFERENCIALES!K14=MAX(DIFERENCIALES!K53,DIFERENCIALES!K14,DIFERENCIALES!K54,DIFERENCIALES!K21),"4",IF(DIFERENCIALES!K54=MAX(DIFERENCIALES!K53,DIFERENCIALES!K14,DIFERENCIALES!K54,DIFERENCIALES!K21),"21","7"))),"—")</f>
        <v>19</v>
      </c>
      <c r="F24" s="23" t="n">
        <f aca="false">IFERROR(MAX(DIFERENCIALES!L53,DIFERENCIALES!L14,DIFERENCIALES!L54,DIFERENCIALES!L21),"")</f>
        <v>0</v>
      </c>
      <c r="G24" s="18" t="str">
        <f aca="false">IF(F24="","—",IF(F24&lt;=1/DIFERENCIALES!$M$2,"✔ OK","✘ EXCEDE"))</f>
        <v>✔ OK</v>
      </c>
    </row>
    <row r="25" customFormat="false" ht="15" hidden="false" customHeight="true" outlineLevel="0" collapsed="false">
      <c r="A25" s="6" t="s">
        <v>28</v>
      </c>
      <c r="B25" s="9" t="n">
        <f aca="false">ASENTAMIENTOS!E25</f>
        <v>0</v>
      </c>
      <c r="C25" s="18" t="n">
        <v>5</v>
      </c>
      <c r="D25" s="22" t="n">
        <f aca="false">MAX(DIFERENCIALES!K54,DIFERENCIALES!K16,DIFERENCIALES!K49,DIFERENCIALES!K25,DIFERENCIALES!K55)</f>
        <v>0</v>
      </c>
      <c r="E25" s="18" t="str">
        <f aca="false">IFERROR(IF(DIFERENCIALES!K54=MAX(DIFERENCIALES!K54,DIFERENCIALES!K16,DIFERENCIALES!K49,DIFERENCIALES!K25,DIFERENCIALES!K55),"20",IF(DIFERENCIALES!K16=MAX(DIFERENCIALES!K54,DIFERENCIALES!K16,DIFERENCIALES!K49,DIFERENCIALES!K25,DIFERENCIALES!K55),"5",IF(DIFERENCIALES!K49=MAX(DIFERENCIALES!K54,DIFERENCIALES!K16,DIFERENCIALES!K49,DIFERENCIALES!K25,DIFERENCIALES!K55),"17",IF(DIFERENCIALES!K25=MAX(DIFERENCIALES!K54,DIFERENCIALES!K16,DIFERENCIALES!K49,DIFERENCIALES!K25,DIFERENCIALES!K55),"8","22")))),"—")</f>
        <v>20</v>
      </c>
      <c r="F25" s="23" t="n">
        <f aca="false">IFERROR(MAX(DIFERENCIALES!L54,DIFERENCIALES!L16,DIFERENCIALES!L49,DIFERENCIALES!L25,DIFERENCIALES!L55),"")</f>
        <v>0</v>
      </c>
      <c r="G25" s="18" t="str">
        <f aca="false">IF(F25="","—",IF(F25&lt;=1/DIFERENCIALES!$M$2,"✔ OK","✘ EXCEDE"))</f>
        <v>✔ OK</v>
      </c>
    </row>
    <row r="26" customFormat="false" ht="15" hidden="false" customHeight="true" outlineLevel="0" collapsed="false">
      <c r="A26" s="6" t="s">
        <v>29</v>
      </c>
      <c r="B26" s="9" t="n">
        <f aca="false">ASENTAMIENTOS!E26</f>
        <v>0</v>
      </c>
      <c r="C26" s="18" t="n">
        <v>5</v>
      </c>
      <c r="D26" s="22" t="n">
        <f aca="false">MAX(DIFERENCIALES!K55,DIFERENCIALES!K50,DIFERENCIALES!K26,DIFERENCIALES!K56,DIFERENCIALES!K48)</f>
        <v>0</v>
      </c>
      <c r="E26" s="18" t="str">
        <f aca="false">IFERROR(IF(DIFERENCIALES!K55=MAX(DIFERENCIALES!K55,DIFERENCIALES!K50,DIFERENCIALES!K26,DIFERENCIALES!K56,DIFERENCIALES!K48),"21",IF(DIFERENCIALES!K50=MAX(DIFERENCIALES!K55,DIFERENCIALES!K50,DIFERENCIALES!K26,DIFERENCIALES!K56,DIFERENCIALES!K48),"17",IF(DIFERENCIALES!K26=MAX(DIFERENCIALES!K55,DIFERENCIALES!K50,DIFERENCIALES!K26,DIFERENCIALES!K56,DIFERENCIALES!K48),"8",IF(DIFERENCIALES!K56=MAX(DIFERENCIALES!K55,DIFERENCIALES!K50,DIFERENCIALES!K26,DIFERENCIALES!K56,DIFERENCIALES!K48),"23","16")))),"—")</f>
        <v>21</v>
      </c>
      <c r="F26" s="23" t="n">
        <f aca="false">IFERROR(MAX(DIFERENCIALES!L55,DIFERENCIALES!L50,DIFERENCIALES!L26,DIFERENCIALES!L56,DIFERENCIALES!L48),"")</f>
        <v>0</v>
      </c>
      <c r="G26" s="18" t="str">
        <f aca="false">IF(F26="","—",IF(F26&lt;=1/DIFERENCIALES!$M$2,"✔ OK","✘ EXCEDE"))</f>
        <v>✔ OK</v>
      </c>
    </row>
    <row r="27" customFormat="false" ht="15" hidden="false" customHeight="true" outlineLevel="0" collapsed="false">
      <c r="A27" s="6" t="s">
        <v>30</v>
      </c>
      <c r="B27" s="9" t="n">
        <f aca="false">ASENTAMIENTOS!E27</f>
        <v>0</v>
      </c>
      <c r="C27" s="18" t="n">
        <v>5</v>
      </c>
      <c r="D27" s="22" t="n">
        <f aca="false">MAX(DIFERENCIALES!K56,DIFERENCIALES!K29,DIFERENCIALES!K57,DIFERENCIALES!K46,DIFERENCIALES!K51)</f>
        <v>0</v>
      </c>
      <c r="E27" s="18" t="str">
        <f aca="false">IFERROR(IF(DIFERENCIALES!K56=MAX(DIFERENCIALES!K56,DIFERENCIALES!K29,DIFERENCIALES!K57,DIFERENCIALES!K46,DIFERENCIALES!K51),"22",IF(DIFERENCIALES!K29=MAX(DIFERENCIALES!K56,DIFERENCIALES!K29,DIFERENCIALES!K57,DIFERENCIALES!K46,DIFERENCIALES!K51),"9",IF(DIFERENCIALES!K57=MAX(DIFERENCIALES!K56,DIFERENCIALES!K29,DIFERENCIALES!K57,DIFERENCIALES!K46,DIFERENCIALES!K51),"24",IF(DIFERENCIALES!K46=MAX(DIFERENCIALES!K56,DIFERENCIALES!K29,DIFERENCIALES!K57,DIFERENCIALES!K46,DIFERENCIALES!K51),"15","18")))),"—")</f>
        <v>22</v>
      </c>
      <c r="F27" s="23" t="n">
        <f aca="false">IFERROR(MAX(DIFERENCIALES!L56,DIFERENCIALES!L29,DIFERENCIALES!L57,DIFERENCIALES!L46,DIFERENCIALES!L51),"")</f>
        <v>0</v>
      </c>
      <c r="G27" s="18" t="str">
        <f aca="false">IF(F27="","—",IF(F27&lt;=1/DIFERENCIALES!$M$2,"✔ OK","✘ EXCEDE"))</f>
        <v>✔ OK</v>
      </c>
    </row>
    <row r="28" customFormat="false" ht="15" hidden="false" customHeight="true" outlineLevel="0" collapsed="false">
      <c r="A28" s="6" t="s">
        <v>31</v>
      </c>
      <c r="B28" s="9" t="n">
        <f aca="false">ASENTAMIENTOS!E28</f>
        <v>0</v>
      </c>
      <c r="C28" s="18" t="n">
        <v>5</v>
      </c>
      <c r="D28" s="22" t="n">
        <f aca="false">MAX(DIFERENCIALES!K57,DIFERENCIALES!K52,DIFERENCIALES!K43,DIFERENCIALES!K30,DIFERENCIALES!K58)</f>
        <v>0</v>
      </c>
      <c r="E28" s="18" t="str">
        <f aca="false">IFERROR(IF(DIFERENCIALES!K57=MAX(DIFERENCIALES!K57,DIFERENCIALES!K52,DIFERENCIALES!K43,DIFERENCIALES!K30,DIFERENCIALES!K58),"23",IF(DIFERENCIALES!K52=MAX(DIFERENCIALES!K57,DIFERENCIALES!K52,DIFERENCIALES!K43,DIFERENCIALES!K30,DIFERENCIALES!K58),"18",IF(DIFERENCIALES!K43=MAX(DIFERENCIALES!K57,DIFERENCIALES!K52,DIFERENCIALES!K43,DIFERENCIALES!K30,DIFERENCIALES!K58),"14",IF(DIFERENCIALES!K30=MAX(DIFERENCIALES!K57,DIFERENCIALES!K52,DIFERENCIALES!K43,DIFERENCIALES!K30,DIFERENCIALES!K58),"9","25")))),"—")</f>
        <v>23</v>
      </c>
      <c r="F28" s="23" t="n">
        <f aca="false">IFERROR(MAX(DIFERENCIALES!L57,DIFERENCIALES!L52,DIFERENCIALES!L43,DIFERENCIALES!L30,DIFERENCIALES!L58),"")</f>
        <v>0</v>
      </c>
      <c r="G28" s="18" t="str">
        <f aca="false">IF(F28="","—",IF(F28&lt;=1/DIFERENCIALES!$M$2,"✔ OK","✘ EXCEDE"))</f>
        <v>✔ OK</v>
      </c>
    </row>
    <row r="29" customFormat="false" ht="15" hidden="false" customHeight="true" outlineLevel="0" collapsed="false">
      <c r="A29" s="6" t="s">
        <v>32</v>
      </c>
      <c r="B29" s="9" t="n">
        <f aca="false">ASENTAMIENTOS!E29</f>
        <v>0</v>
      </c>
      <c r="C29" s="18" t="n">
        <v>4</v>
      </c>
      <c r="D29" s="22" t="n">
        <f aca="false">MAX(DIFERENCIALES!K58,DIFERENCIALES!K33,DIFERENCIALES!K59,DIFERENCIALES!K41)</f>
        <v>0</v>
      </c>
      <c r="E29" s="18" t="str">
        <f aca="false">IFERROR(IF(DIFERENCIALES!K58=MAX(DIFERENCIALES!K58,DIFERENCIALES!K33,DIFERENCIALES!K59,DIFERENCIALES!K41),"24",IF(DIFERENCIALES!K33=MAX(DIFERENCIALES!K58,DIFERENCIALES!K33,DIFERENCIALES!K59,DIFERENCIALES!K41),"10",IF(DIFERENCIALES!K59=MAX(DIFERENCIALES!K58,DIFERENCIALES!K33,DIFERENCIALES!K59,DIFERENCIALES!K41),"26","13"))),"—")</f>
        <v>24</v>
      </c>
      <c r="F29" s="23" t="n">
        <f aca="false">IFERROR(MAX(DIFERENCIALES!L58,DIFERENCIALES!L33,DIFERENCIALES!L59,DIFERENCIALES!L41),"")</f>
        <v>0</v>
      </c>
      <c r="G29" s="18" t="str">
        <f aca="false">IF(F29="","—",IF(F29&lt;=1/DIFERENCIALES!$M$2,"✔ OK","✘ EXCEDE"))</f>
        <v>✔ OK</v>
      </c>
    </row>
    <row r="30" customFormat="false" ht="15" hidden="false" customHeight="true" outlineLevel="0" collapsed="false">
      <c r="A30" s="6" t="s">
        <v>33</v>
      </c>
      <c r="B30" s="9" t="n">
        <f aca="false">ASENTAMIENTOS!E30</f>
        <v>0</v>
      </c>
      <c r="C30" s="18" t="n">
        <v>4</v>
      </c>
      <c r="D30" s="22" t="n">
        <f aca="false">MAX(DIFERENCIALES!K36,DIFERENCIALES!K59,DIFERENCIALES!K39,DIFERENCIALES!K10)</f>
        <v>0</v>
      </c>
      <c r="E30" s="18" t="str">
        <f aca="false">IFERROR(IF(DIFERENCIALES!K36=MAX(DIFERENCIALES!K36,DIFERENCIALES!K59,DIFERENCIALES!K39,DIFERENCIALES!K10),"11",IF(DIFERENCIALES!K59=MAX(DIFERENCIALES!K36,DIFERENCIALES!K59,DIFERENCIALES!K39,DIFERENCIALES!K10),"25",IF(DIFERENCIALES!K39=MAX(DIFERENCIALES!K36,DIFERENCIALES!K59,DIFERENCIALES!K39,DIFERENCIALES!K10),"12","2"))),"—")</f>
        <v>11</v>
      </c>
      <c r="F30" s="23" t="n">
        <f aca="false">IFERROR(MAX(DIFERENCIALES!L36,DIFERENCIALES!L59,DIFERENCIALES!L39,DIFERENCIALES!L10),"")</f>
        <v>0</v>
      </c>
      <c r="G30" s="18" t="str">
        <f aca="false">IF(F30="","—",IF(F30&lt;=1/DIFERENCIALES!$M$2,"✔ OK","✘ EXCEDE"))</f>
        <v>✔ OK</v>
      </c>
    </row>
    <row r="31" customFormat="false" ht="15" hidden="false" customHeight="true" outlineLevel="0" collapsed="false">
      <c r="A31" s="6" t="s">
        <v>34</v>
      </c>
      <c r="B31" s="9" t="n">
        <f aca="false">ASENTAMIENTOS!E31</f>
        <v>0</v>
      </c>
      <c r="C31" s="18" t="n">
        <v>6</v>
      </c>
      <c r="D31" s="22" t="n">
        <f aca="false">MAX(DIFERENCIALES!K27,DIFERENCIALES!K31,DIFERENCIALES!K22,DIFERENCIALES!K34,DIFERENCIALES!K60,DIFERENCIALES!K61)</f>
        <v>0</v>
      </c>
      <c r="E31" s="18" t="str">
        <f aca="false">IFERROR(IF(DIFERENCIALES!K27=MAX(DIFERENCIALES!K27,DIFERENCIALES!K31,DIFERENCIALES!K22,DIFERENCIALES!K34,DIFERENCIALES!K60,DIFERENCIALES!K61),"8",IF(DIFERENCIALES!K31=MAX(DIFERENCIALES!K27,DIFERENCIALES!K31,DIFERENCIALES!K22,DIFERENCIALES!K34,DIFERENCIALES!K60,DIFERENCIALES!K61),"9",IF(DIFERENCIALES!K22=MAX(DIFERENCIALES!K27,DIFERENCIALES!K31,DIFERENCIALES!K22,DIFERENCIALES!K34,DIFERENCIALES!K60,DIFERENCIALES!K61),"7",IF(DIFERENCIALES!K34=MAX(DIFERENCIALES!K27,DIFERENCIALES!K31,DIFERENCIALES!K22,DIFERENCIALES!K34,DIFERENCIALES!K60,DIFERENCIALES!K61),"10",IF(DIFERENCIALES!K60=MAX(DIFERENCIALES!K27,DIFERENCIALES!K31,DIFERENCIALES!K22,DIFERENCIALES!K34,DIFERENCIALES!K60,DIFERENCIALES!K61),"82","83"))))),"—")</f>
        <v>8</v>
      </c>
      <c r="F31" s="23" t="n">
        <f aca="false">IFERROR(MAX(DIFERENCIALES!L27,DIFERENCIALES!L31,DIFERENCIALES!L22,DIFERENCIALES!L34,DIFERENCIALES!L60,DIFERENCIALES!L61),"")</f>
        <v>0</v>
      </c>
      <c r="G31" s="18" t="str">
        <f aca="false">IF(F31="","—",IF(F31&lt;=1/DIFERENCIALES!$M$2,"✔ OK","✘ EXCEDE"))</f>
        <v>✔ OK</v>
      </c>
    </row>
    <row r="32" customFormat="false" ht="15" hidden="false" customHeight="true" outlineLevel="0" collapsed="false">
      <c r="A32" s="6" t="s">
        <v>80</v>
      </c>
      <c r="B32" s="9" t="n">
        <f aca="false">ASENTAMIENTOS!E77</f>
        <v>0</v>
      </c>
      <c r="C32" s="18" t="n">
        <v>4</v>
      </c>
      <c r="D32" s="22" t="n">
        <f aca="false">MAX(DIFERENCIALES!K23,DIFERENCIALES!K60,DIFERENCIALES!K19,DIFERENCIALES!K62)</f>
        <v>0</v>
      </c>
      <c r="E32" s="18" t="str">
        <f aca="false">IFERROR(IF(DIFERENCIALES!K23=MAX(DIFERENCIALES!K23,DIFERENCIALES!K60,DIFERENCIALES!K19,DIFERENCIALES!K62),"7",IF(DIFERENCIALES!K60=MAX(DIFERENCIALES!K23,DIFERENCIALES!K60,DIFERENCIALES!K19,DIFERENCIALES!K62),"27",IF(DIFERENCIALES!K19=MAX(DIFERENCIALES!K23,DIFERENCIALES!K60,DIFERENCIALES!K19,DIFERENCIALES!K62),"6","83"))),"—")</f>
        <v>7</v>
      </c>
      <c r="F32" s="23" t="n">
        <f aca="false">IFERROR(MAX(DIFERENCIALES!L23,DIFERENCIALES!L60,DIFERENCIALES!L19,DIFERENCIALES!L62),"")</f>
        <v>0</v>
      </c>
      <c r="G32" s="18" t="str">
        <f aca="false">IF(F32="","—",IF(F32&lt;=1/DIFERENCIALES!$M$2,"✔ OK","✘ EXCEDE"))</f>
        <v>✔ OK</v>
      </c>
    </row>
    <row r="33" customFormat="false" ht="15" hidden="false" customHeight="true" outlineLevel="0" collapsed="false">
      <c r="A33" s="6" t="s">
        <v>81</v>
      </c>
      <c r="B33" s="9" t="n">
        <f aca="false">ASENTAMIENTOS!E78</f>
        <v>0</v>
      </c>
      <c r="C33" s="18" t="n">
        <v>4</v>
      </c>
      <c r="D33" s="22" t="n">
        <f aca="false">MAX(DIFERENCIALES!K61,DIFERENCIALES!K62,DIFERENCIALES!K35,DIFERENCIALES!K37)</f>
        <v>0</v>
      </c>
      <c r="E33" s="18" t="str">
        <f aca="false">IFERROR(IF(DIFERENCIALES!K61=MAX(DIFERENCIALES!K61,DIFERENCIALES!K62,DIFERENCIALES!K35,DIFERENCIALES!K37),"27",IF(DIFERENCIALES!K62=MAX(DIFERENCIALES!K61,DIFERENCIALES!K62,DIFERENCIALES!K35,DIFERENCIALES!K37),"82",IF(DIFERENCIALES!K35=MAX(DIFERENCIALES!K61,DIFERENCIALES!K62,DIFERENCIALES!K35,DIFERENCIALES!K37),"10","11"))),"—")</f>
        <v>27</v>
      </c>
      <c r="F33" s="23" t="n">
        <f aca="false">IFERROR(MAX(DIFERENCIALES!L61,DIFERENCIALES!L62,DIFERENCIALES!L35,DIFERENCIALES!L37),"")</f>
        <v>0</v>
      </c>
      <c r="G33" s="18" t="str">
        <f aca="false">IF(F33="","—",IF(F33&lt;=1/DIFERENCIALES!$M$2,"✔ OK","✘ EXCEDE"))</f>
        <v>✔ OK</v>
      </c>
    </row>
  </sheetData>
  <mergeCells count="2">
    <mergeCell ref="A1:G1"/>
    <mergeCell ref="A2:G2"/>
  </mergeCells>
  <conditionalFormatting sqref="G5:G33">
    <cfRule type="cellIs" priority="2" operator="equal" aboveAverage="0" equalAverage="0" bottom="0" percent="0" rank="0" text="" dxfId="0">
      <formula>"✔ OK"</formula>
    </cfRule>
    <cfRule type="cellIs" priority="3" operator="equal" aboveAverage="0" equalAverage="0" bottom="0" percent="0" rank="0" text="" dxfId="0">
      <formula>"✔ OK"</formula>
    </cfRule>
    <cfRule type="cellIs" priority="4" operator="equal" aboveAverage="0" equalAverage="0" bottom="0" percent="0" rank="0" text="" dxfId="2">
      <formula>"✔ OK"</formula>
    </cfRule>
    <cfRule type="cellIs" priority="5" operator="equal" aboveAverage="0" equalAverage="0" bottom="0" percent="0" rank="0" text="" dxfId="3">
      <formula>"✘ EXCEDE"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25" t="s">
        <v>2</v>
      </c>
      <c r="B1" s="25" t="s">
        <v>3</v>
      </c>
      <c r="C1" s="25" t="s">
        <v>4</v>
      </c>
    </row>
    <row r="2" customFormat="false" ht="15" hidden="false" customHeight="false" outlineLevel="0" collapsed="false">
      <c r="A2" s="0" t="s">
        <v>8</v>
      </c>
      <c r="B2" s="26" t="n">
        <v>-14600.9</v>
      </c>
      <c r="C2" s="26" t="n">
        <v>-9526.3</v>
      </c>
    </row>
    <row r="3" customFormat="false" ht="15" hidden="false" customHeight="false" outlineLevel="0" collapsed="false">
      <c r="A3" s="0" t="s">
        <v>9</v>
      </c>
      <c r="B3" s="26" t="n">
        <v>14600.9</v>
      </c>
      <c r="C3" s="26" t="n">
        <v>-9526.3</v>
      </c>
    </row>
    <row r="4" customFormat="false" ht="15" hidden="false" customHeight="false" outlineLevel="0" collapsed="false">
      <c r="A4" s="0" t="s">
        <v>10</v>
      </c>
      <c r="B4" s="26" t="n">
        <v>-17776.3</v>
      </c>
      <c r="C4" s="26" t="n">
        <v>-4026.3</v>
      </c>
    </row>
    <row r="5" customFormat="false" ht="15" hidden="false" customHeight="false" outlineLevel="0" collapsed="false">
      <c r="A5" s="0" t="s">
        <v>11</v>
      </c>
      <c r="B5" s="26" t="n">
        <v>-15026.3</v>
      </c>
      <c r="C5" s="26" t="n">
        <v>736.9</v>
      </c>
    </row>
    <row r="6" customFormat="false" ht="15" hidden="false" customHeight="false" outlineLevel="0" collapsed="false">
      <c r="A6" s="0" t="s">
        <v>12</v>
      </c>
      <c r="B6" s="26" t="n">
        <v>-12276.3</v>
      </c>
      <c r="C6" s="26" t="n">
        <v>5500</v>
      </c>
    </row>
    <row r="7" customFormat="false" ht="15" hidden="false" customHeight="false" outlineLevel="0" collapsed="false">
      <c r="A7" s="0" t="s">
        <v>13</v>
      </c>
      <c r="B7" s="26" t="n">
        <v>-8250</v>
      </c>
      <c r="C7" s="26" t="n">
        <v>-9526.3</v>
      </c>
    </row>
    <row r="8" customFormat="false" ht="15" hidden="false" customHeight="false" outlineLevel="0" collapsed="false">
      <c r="A8" s="0" t="s">
        <v>14</v>
      </c>
      <c r="B8" s="26" t="n">
        <v>-5500</v>
      </c>
      <c r="C8" s="26" t="n">
        <v>-4763.1</v>
      </c>
    </row>
    <row r="9" customFormat="false" ht="15" hidden="false" customHeight="false" outlineLevel="0" collapsed="false">
      <c r="A9" s="0" t="s">
        <v>15</v>
      </c>
      <c r="B9" s="26" t="n">
        <v>-2750</v>
      </c>
      <c r="C9" s="26" t="n">
        <v>0</v>
      </c>
    </row>
    <row r="10" customFormat="false" ht="15" hidden="false" customHeight="false" outlineLevel="0" collapsed="false">
      <c r="A10" s="0" t="s">
        <v>16</v>
      </c>
      <c r="B10" s="26" t="n">
        <v>2750</v>
      </c>
      <c r="C10" s="26" t="n">
        <v>0</v>
      </c>
    </row>
    <row r="11" customFormat="false" ht="15" hidden="false" customHeight="false" outlineLevel="0" collapsed="false">
      <c r="A11" s="0" t="s">
        <v>17</v>
      </c>
      <c r="B11" s="26" t="n">
        <v>5500</v>
      </c>
      <c r="C11" s="26" t="n">
        <v>-4763.1</v>
      </c>
    </row>
    <row r="12" customFormat="false" ht="15" hidden="false" customHeight="false" outlineLevel="0" collapsed="false">
      <c r="A12" s="0" t="s">
        <v>18</v>
      </c>
      <c r="B12" s="26" t="n">
        <v>8250</v>
      </c>
      <c r="C12" s="26" t="n">
        <v>-9526.3</v>
      </c>
    </row>
    <row r="13" customFormat="false" ht="15" hidden="false" customHeight="false" outlineLevel="0" collapsed="false">
      <c r="A13" s="0" t="s">
        <v>19</v>
      </c>
      <c r="B13" s="26" t="n">
        <v>17776.3</v>
      </c>
      <c r="C13" s="26" t="n">
        <v>-4026.3</v>
      </c>
    </row>
    <row r="14" customFormat="false" ht="15" hidden="false" customHeight="false" outlineLevel="0" collapsed="false">
      <c r="A14" s="0" t="s">
        <v>20</v>
      </c>
      <c r="B14" s="26" t="n">
        <v>15026.3</v>
      </c>
      <c r="C14" s="26" t="n">
        <v>736.9</v>
      </c>
    </row>
    <row r="15" customFormat="false" ht="15" hidden="false" customHeight="false" outlineLevel="0" collapsed="false">
      <c r="A15" s="0" t="s">
        <v>21</v>
      </c>
      <c r="B15" s="26" t="n">
        <v>12276.3</v>
      </c>
      <c r="C15" s="26" t="n">
        <v>5500</v>
      </c>
    </row>
    <row r="16" customFormat="false" ht="15" hidden="false" customHeight="false" outlineLevel="0" collapsed="false">
      <c r="A16" s="0" t="s">
        <v>22</v>
      </c>
      <c r="B16" s="26" t="n">
        <v>2750</v>
      </c>
      <c r="C16" s="26" t="n">
        <v>11000</v>
      </c>
    </row>
    <row r="17" customFormat="false" ht="15" hidden="false" customHeight="false" outlineLevel="0" collapsed="false">
      <c r="A17" s="0" t="s">
        <v>23</v>
      </c>
      <c r="B17" s="26" t="n">
        <v>-2750</v>
      </c>
      <c r="C17" s="26" t="n">
        <v>11000</v>
      </c>
    </row>
    <row r="18" customFormat="false" ht="15" hidden="false" customHeight="false" outlineLevel="0" collapsed="false">
      <c r="A18" s="0" t="s">
        <v>24</v>
      </c>
      <c r="B18" s="26" t="n">
        <v>-7513.1</v>
      </c>
      <c r="C18" s="26" t="n">
        <v>8250</v>
      </c>
    </row>
    <row r="19" customFormat="false" ht="15" hidden="false" customHeight="false" outlineLevel="0" collapsed="false">
      <c r="A19" s="0" t="s">
        <v>25</v>
      </c>
      <c r="B19" s="26" t="n">
        <v>7513.1</v>
      </c>
      <c r="C19" s="26" t="n">
        <v>8250</v>
      </c>
    </row>
    <row r="20" customFormat="false" ht="15" hidden="false" customHeight="false" outlineLevel="0" collapsed="false">
      <c r="A20" s="0" t="s">
        <v>26</v>
      </c>
      <c r="B20" s="26" t="n">
        <v>-13013.165</v>
      </c>
      <c r="C20" s="26" t="n">
        <v>-6776.2915</v>
      </c>
    </row>
    <row r="21" customFormat="false" ht="15" hidden="false" customHeight="false" outlineLevel="0" collapsed="false">
      <c r="A21" s="0" t="s">
        <v>27</v>
      </c>
      <c r="B21" s="26" t="n">
        <v>-10263.117</v>
      </c>
      <c r="C21" s="26" t="n">
        <v>-2013.119</v>
      </c>
    </row>
    <row r="22" customFormat="false" ht="15" hidden="false" customHeight="false" outlineLevel="0" collapsed="false">
      <c r="A22" s="0" t="s">
        <v>28</v>
      </c>
      <c r="B22" s="26" t="n">
        <v>-7513.1</v>
      </c>
      <c r="C22" s="26" t="n">
        <v>2750</v>
      </c>
    </row>
    <row r="23" customFormat="false" ht="15" hidden="false" customHeight="false" outlineLevel="0" collapsed="false">
      <c r="A23" s="0" t="s">
        <v>29</v>
      </c>
      <c r="B23" s="26" t="n">
        <v>-2750</v>
      </c>
      <c r="C23" s="26" t="n">
        <v>5500</v>
      </c>
    </row>
    <row r="24" customFormat="false" ht="15" hidden="false" customHeight="false" outlineLevel="0" collapsed="false">
      <c r="A24" s="0" t="s">
        <v>30</v>
      </c>
      <c r="B24" s="26" t="n">
        <v>2750</v>
      </c>
      <c r="C24" s="26" t="n">
        <v>5500</v>
      </c>
    </row>
    <row r="25" customFormat="false" ht="15" hidden="false" customHeight="false" outlineLevel="0" collapsed="false">
      <c r="A25" s="0" t="s">
        <v>31</v>
      </c>
      <c r="B25" s="26" t="n">
        <v>7513.1</v>
      </c>
      <c r="C25" s="26" t="n">
        <v>2750</v>
      </c>
    </row>
    <row r="26" customFormat="false" ht="15" hidden="false" customHeight="false" outlineLevel="0" collapsed="false">
      <c r="A26" s="0" t="s">
        <v>32</v>
      </c>
      <c r="B26" s="26" t="n">
        <v>10263.117</v>
      </c>
      <c r="C26" s="26" t="n">
        <v>-2013.119</v>
      </c>
    </row>
    <row r="27" customFormat="false" ht="15" hidden="false" customHeight="false" outlineLevel="0" collapsed="false">
      <c r="A27" s="0" t="s">
        <v>33</v>
      </c>
      <c r="B27" s="26" t="n">
        <v>13013.165</v>
      </c>
      <c r="C27" s="26" t="n">
        <v>-6776.2915</v>
      </c>
    </row>
    <row r="28" customFormat="false" ht="15" hidden="false" customHeight="false" outlineLevel="0" collapsed="false">
      <c r="A28" s="0" t="s">
        <v>34</v>
      </c>
      <c r="B28" s="26" t="n">
        <v>0</v>
      </c>
      <c r="C28" s="26" t="n">
        <v>-4763.1</v>
      </c>
    </row>
    <row r="29" customFormat="false" ht="15" hidden="false" customHeight="false" outlineLevel="0" collapsed="false">
      <c r="A29" s="0" t="s">
        <v>80</v>
      </c>
      <c r="B29" s="26" t="n">
        <v>-2750</v>
      </c>
      <c r="C29" s="26" t="n">
        <v>-9526.3</v>
      </c>
    </row>
    <row r="30" customFormat="false" ht="15" hidden="false" customHeight="false" outlineLevel="0" collapsed="false">
      <c r="A30" s="0" t="s">
        <v>81</v>
      </c>
      <c r="B30" s="26" t="n">
        <v>2750</v>
      </c>
      <c r="C30" s="26" t="n">
        <v>-9526.3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2026-03-20T18:37:11Z</dcterms:created>
  <dc:creator>openpyxl</dc:creator>
  <dc:description/>
  <dc:language>en-US</dc:language>
  <cp:lastModifiedBy/>
  <dcterms:modified xsi:type="dcterms:W3CDTF">2026-03-20T20:06:57Z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